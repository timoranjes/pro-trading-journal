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Trade Log" sheetId="1" state="visible" r:id="rId1"/>
    <sheet xmlns:r="http://schemas.openxmlformats.org/officeDocument/2006/relationships" name="📊 Dashboard" sheetId="2" state="visible" r:id="rId2"/>
    <sheet xmlns:r="http://schemas.openxmlformats.org/officeDocument/2006/relationships" name="📈 Analytics" sheetId="3" state="visible" r:id="rId3"/>
    <sheet xmlns:r="http://schemas.openxmlformats.org/officeDocument/2006/relationships" name="📖 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$#,##0.00"/>
  </numFmts>
  <fonts count="10">
    <font>
      <name val="Calibri"/>
      <family val="2"/>
      <color theme="1"/>
      <sz val="11"/>
      <scheme val="minor"/>
    </font>
    <font>
      <name val="Calibri"/>
      <b val="1"/>
      <color rgb="001B2A4A"/>
      <sz val="16"/>
    </font>
    <font>
      <name val="Calibri"/>
      <b val="1"/>
      <color rgb="002C3E6B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27AE60"/>
      <sz val="11"/>
    </font>
    <font>
      <name val="Calibri"/>
      <b val="1"/>
      <color rgb="00E74C3C"/>
      <sz val="11"/>
    </font>
    <font>
      <name val="Calibri"/>
      <b val="1"/>
      <sz val="11"/>
    </font>
    <font>
      <name val="Calibri"/>
      <b val="1"/>
      <color rgb="001B2A4A"/>
      <sz val="13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medium">
        <color rgb="001B2A4A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/>
      <bottom style="medium">
        <color rgb="001B2A4A"/>
      </bottom>
      <diagonal/>
    </border>
    <border>
      <right/>
      <bottom style="medium">
        <color rgb="001B2A4A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4" fontId="4" fillId="0" borderId="2" pivotButton="0" quotePrefix="0" xfId="0"/>
    <xf numFmtId="4" fontId="5" fillId="0" borderId="2" pivotButton="0" quotePrefix="0" xfId="0"/>
    <xf numFmtId="10" fontId="5" fillId="0" borderId="2" pivotButton="0" quotePrefix="0" xfId="0"/>
    <xf numFmtId="2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4" fontId="4" fillId="3" borderId="2" pivotButton="0" quotePrefix="0" xfId="0"/>
    <xf numFmtId="4" fontId="6" fillId="3" borderId="2" pivotButton="0" quotePrefix="0" xfId="0"/>
    <xf numFmtId="10" fontId="6" fillId="3" borderId="2" pivotButton="0" quotePrefix="0" xfId="0"/>
    <xf numFmtId="2" fontId="4" fillId="3" borderId="2" pivotButton="0" quotePrefix="0" xfId="0"/>
    <xf numFmtId="0" fontId="0" fillId="3" borderId="0" pivotButton="0" quotePrefix="0" xfId="0"/>
    <xf numFmtId="4" fontId="5" fillId="3" borderId="2" pivotButton="0" quotePrefix="0" xfId="0"/>
    <xf numFmtId="10" fontId="5" fillId="3" borderId="2" pivotButton="0" quotePrefix="0" xfId="0"/>
    <xf numFmtId="0" fontId="7" fillId="3" borderId="2" applyAlignment="1" pivotButton="0" quotePrefix="0" xfId="0">
      <alignment horizontal="right"/>
    </xf>
    <xf numFmtId="0" fontId="8" fillId="0" borderId="2" applyAlignment="1" pivotButton="0" quotePrefix="0" xfId="0">
      <alignment horizontal="center"/>
    </xf>
    <xf numFmtId="10" fontId="8" fillId="0" borderId="2" applyAlignment="1" pivotButton="0" quotePrefix="0" xfId="0">
      <alignment horizontal="center"/>
    </xf>
    <xf numFmtId="4" fontId="8" fillId="0" borderId="2" applyAlignment="1" pivotButton="0" quotePrefix="0" xfId="0">
      <alignment horizontal="center"/>
    </xf>
    <xf numFmtId="2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0" fontId="2" fillId="0" borderId="1" pivotButton="0" quotePrefix="0" xfId="0"/>
    <xf numFmtId="0" fontId="4" fillId="0" borderId="2" applyAlignment="1" pivotButton="0" quotePrefix="0" xfId="0">
      <alignment vertical="center"/>
    </xf>
    <xf numFmtId="10" fontId="4" fillId="0" borderId="2" applyAlignment="1" pivotButton="0" quotePrefix="0" xfId="0">
      <alignment vertical="center"/>
    </xf>
    <xf numFmtId="4" fontId="4" fillId="0" borderId="2" applyAlignment="1" pivotButton="0" quotePrefix="0" xfId="0">
      <alignment vertical="center"/>
    </xf>
    <xf numFmtId="2" fontId="4" fillId="0" borderId="2" applyAlignment="1" pivotButton="0" quotePrefix="0" xfId="0">
      <alignment vertical="center"/>
    </xf>
    <xf numFmtId="0" fontId="0" fillId="0" borderId="2" pivotButton="0" quotePrefix="0" xfId="0"/>
    <xf numFmtId="10" fontId="0" fillId="0" borderId="2" pivotButton="0" quotePrefix="0" xfId="0"/>
    <xf numFmtId="164" fontId="3" fillId="2" borderId="2" applyAlignment="1" pivotButton="0" quotePrefix="0" xfId="0">
      <alignment horizontal="center" vertical="center" wrapText="1"/>
    </xf>
    <xf numFmtId="4" fontId="3" fillId="2" borderId="2" applyAlignment="1" pivotButton="0" quotePrefix="0" xfId="0">
      <alignment horizontal="center" vertical="center" wrapText="1"/>
    </xf>
    <xf numFmtId="10" fontId="4" fillId="0" borderId="2" pivotButton="0" quotePrefix="0" xfId="0"/>
    <xf numFmtId="4" fontId="0" fillId="0" borderId="2" pivotButton="0" quotePrefix="0" xfId="0"/>
    <xf numFmtId="2" fontId="0" fillId="0" borderId="2" pivotButton="0" quotePrefix="0" xfId="0"/>
    <xf numFmtId="0" fontId="4" fillId="0" borderId="0" applyAlignment="1" pivotButton="0" quotePrefix="0" xfId="0">
      <alignment wrapText="1"/>
    </xf>
    <xf numFmtId="0" fontId="0" fillId="0" borderId="3" pivotButton="0" quotePrefix="0" xfId="0"/>
    <xf numFmtId="166" fontId="5" fillId="0" borderId="2" pivotButton="0" quotePrefix="0" xfId="0"/>
    <xf numFmtId="166" fontId="6" fillId="3" borderId="2" pivotButton="0" quotePrefix="0" xfId="0"/>
    <xf numFmtId="166" fontId="5" fillId="3" borderId="2" pivotButton="0" quotePrefix="0" xfId="0"/>
    <xf numFmtId="166" fontId="4" fillId="0" borderId="2" pivotButton="0" quotePrefix="0" xfId="0"/>
    <xf numFmtId="166" fontId="0" fillId="0" borderId="0" pivotButton="0" quotePrefix="0" xfId="0"/>
    <xf numFmtId="10" fontId="0" fillId="0" borderId="0" pivotButton="0" quotePrefix="0" xfId="0"/>
    <xf numFmtId="0" fontId="9" fillId="0" borderId="2" pivotButton="0" quotePrefix="0" xfId="0"/>
    <xf numFmtId="10" fontId="3" fillId="2" borderId="2" applyAlignment="1" pivotButton="0" quotePrefix="0" xfId="0">
      <alignment horizontal="center" vertical="center" wrapText="1"/>
    </xf>
    <xf numFmtId="2" fontId="3" fillId="2" borderId="2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0" borderId="4" pivotButton="0" quotePrefix="0" xfId="0"/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10" fontId="4" fillId="0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" fontId="0" fillId="0" borderId="2" applyAlignment="1" pivotButton="0" quotePrefix="0" xfId="0">
      <alignment horizontal="center" vertical="center" wrapText="1"/>
    </xf>
    <xf numFmtId="2" fontId="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T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4" customWidth="1" min="4" max="4"/>
    <col width="10" customWidth="1" min="5" max="5"/>
    <col width="18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  <col width="12" customWidth="1" min="16" max="16"/>
    <col width="13" customWidth="1" min="17" max="17"/>
    <col width="20" customWidth="1" min="18" max="18"/>
    <col width="30" customWidth="1" min="19" max="19"/>
    <col width="15" customWidth="1" min="20" max="20"/>
  </cols>
  <sheetData>
    <row r="1">
      <c r="A1" s="49" t="inlineStr">
        <is>
          <t>PRO TRADING JOURNAL</t>
        </is>
      </c>
      <c r="B1" s="38" t="n"/>
      <c r="C1" s="38" t="n"/>
      <c r="D1" s="38" t="n"/>
    </row>
    <row r="2">
      <c r="A2" s="2" t="inlineStr">
        <is>
          <t>Trade Log — Record every trade</t>
        </is>
      </c>
    </row>
    <row r="4">
      <c r="A4" s="3" t="inlineStr">
        <is>
          <t>Trade #</t>
        </is>
      </c>
      <c r="B4" s="3" t="inlineStr">
        <is>
          <t>Date</t>
        </is>
      </c>
      <c r="C4" s="3" t="inlineStr">
        <is>
          <t>Market</t>
        </is>
      </c>
      <c r="D4" s="3" t="inlineStr">
        <is>
          <t>Symbol</t>
        </is>
      </c>
      <c r="E4" s="3" t="inlineStr">
        <is>
          <t>Direction</t>
        </is>
      </c>
      <c r="F4" s="3" t="inlineStr">
        <is>
          <t>Setup/Strategy</t>
        </is>
      </c>
      <c r="G4" s="3" t="inlineStr">
        <is>
          <t>Entry Price</t>
        </is>
      </c>
      <c r="H4" s="3" t="inlineStr">
        <is>
          <t>Stop Loss</t>
        </is>
      </c>
      <c r="I4" s="3" t="inlineStr">
        <is>
          <t>Take Profit</t>
        </is>
      </c>
      <c r="J4" s="3" t="inlineStr">
        <is>
          <t>Position Size</t>
        </is>
      </c>
      <c r="K4" s="3" t="inlineStr">
        <is>
          <t>Exit Price</t>
        </is>
      </c>
      <c r="L4" s="3" t="inlineStr">
        <is>
          <t>Exit Date</t>
        </is>
      </c>
      <c r="M4" s="3" t="inlineStr">
        <is>
          <t>P&amp;L ($)</t>
        </is>
      </c>
      <c r="N4" s="3" t="inlineStr">
        <is>
          <t>P&amp;L (%)</t>
        </is>
      </c>
      <c r="O4" s="3" t="inlineStr">
        <is>
          <t>R-Multiple</t>
        </is>
      </c>
      <c r="P4" s="3" t="inlineStr">
        <is>
          <t>Commission</t>
        </is>
      </c>
      <c r="Q4" s="3" t="inlineStr">
        <is>
          <t>Net P&amp;L ($)</t>
        </is>
      </c>
      <c r="R4" s="3" t="inlineStr">
        <is>
          <t>Mistakes</t>
        </is>
      </c>
      <c r="S4" s="3" t="inlineStr">
        <is>
          <t>Notes</t>
        </is>
      </c>
      <c r="T4" s="3" t="inlineStr">
        <is>
          <t>Screenshot Link</t>
        </is>
      </c>
    </row>
    <row r="5">
      <c r="A5" s="4" t="n">
        <v>1</v>
      </c>
      <c r="B5" s="5" t="inlineStr">
        <is>
          <t>2026-05-05</t>
        </is>
      </c>
      <c r="C5" s="4" t="inlineStr">
        <is>
          <t>US</t>
        </is>
      </c>
      <c r="D5" s="4" t="inlineStr">
        <is>
          <t>NVDA</t>
        </is>
      </c>
      <c r="E5" s="4" t="inlineStr">
        <is>
          <t>Long</t>
        </is>
      </c>
      <c r="F5" s="4" t="inlineStr">
        <is>
          <t>Breakout Pullback</t>
        </is>
      </c>
      <c r="G5" s="6" t="n">
        <v>128.5</v>
      </c>
      <c r="H5" s="6" t="n">
        <v>125</v>
      </c>
      <c r="I5" s="6" t="n">
        <v>138</v>
      </c>
      <c r="J5" s="6" t="n">
        <v>100</v>
      </c>
      <c r="K5" s="6" t="n">
        <v>136.2</v>
      </c>
      <c r="L5" s="4" t="inlineStr">
        <is>
          <t>2026-05-06</t>
        </is>
      </c>
      <c r="M5" s="39">
        <f>IF(OR(E5="",K5=""),"",IF(E5="Long",(K5-G5)*J5,IF(E5="Short",(G5-K5)*J5,"")))</f>
        <v/>
      </c>
      <c r="N5" s="8">
        <f>IF(OR(E5="",K5="",G5=0),"",IF(E5="Long",(K5-G5)/G5,IF(E5="Short",(G5-K5)/G5,"")))</f>
        <v/>
      </c>
      <c r="O5" s="9">
        <f>IF(OR(M5="",H5=""),"",IF(ABS(J5*(G5-H5))=0,"N/A",M5/ABS(J5*(G5-H5))))</f>
        <v/>
      </c>
      <c r="P5" s="6" t="n">
        <v>1.5</v>
      </c>
      <c r="Q5" s="39">
        <f>IF(M5="","",M5-P5)</f>
        <v/>
      </c>
      <c r="R5" s="4" t="inlineStr">
        <is>
          <t>Entered 10min early</t>
        </is>
      </c>
      <c r="S5" s="4" t="inlineStr">
        <is>
          <t>Clean breakout, held well</t>
        </is>
      </c>
    </row>
    <row r="6">
      <c r="A6" s="10" t="n">
        <v>2</v>
      </c>
      <c r="B6" s="11" t="inlineStr">
        <is>
          <t>2026-05-06</t>
        </is>
      </c>
      <c r="C6" s="10" t="inlineStr">
        <is>
          <t>HK</t>
        </is>
      </c>
      <c r="D6" s="10" t="inlineStr">
        <is>
          <t>0700.HK</t>
        </is>
      </c>
      <c r="E6" s="10" t="inlineStr">
        <is>
          <t>Long</t>
        </is>
      </c>
      <c r="F6" s="10" t="inlineStr">
        <is>
          <t>Support Bounce</t>
        </is>
      </c>
      <c r="G6" s="12" t="n">
        <v>512</v>
      </c>
      <c r="H6" s="12" t="n">
        <v>505</v>
      </c>
      <c r="I6" s="12" t="n">
        <v>530</v>
      </c>
      <c r="J6" s="12" t="n">
        <v>200</v>
      </c>
      <c r="K6" s="12" t="n">
        <v>508</v>
      </c>
      <c r="L6" s="10" t="inlineStr">
        <is>
          <t>2026-05-06</t>
        </is>
      </c>
      <c r="M6" s="40">
        <f>IF(OR(E6="",K6=""),"",IF(E6="Long",(K6-G6)*J6,IF(E6="Short",(G6-K6)*J6,"")))</f>
        <v/>
      </c>
      <c r="N6" s="14">
        <f>IF(OR(E6="",K6="",G6=0),"",IF(E6="Long",(K6-G6)/G6,IF(E6="Short",(G6-K6)/G6,"")))</f>
        <v/>
      </c>
      <c r="O6" s="15">
        <f>IF(OR(M6="",H6=""),"",IF(ABS(J6*(G6-H6))=0,"N/A",M6/ABS(J6*(G6-H6))))</f>
        <v/>
      </c>
      <c r="P6" s="12" t="n">
        <v>3</v>
      </c>
      <c r="Q6" s="40">
        <f>IF(M6="","",M6-P6)</f>
        <v/>
      </c>
      <c r="R6" s="10" t="inlineStr">
        <is>
          <t>No confirmation</t>
        </is>
      </c>
      <c r="S6" s="10" t="inlineStr">
        <is>
          <t>Weak bounce, should have waited</t>
        </is>
      </c>
      <c r="T6" s="16" t="n"/>
    </row>
    <row r="7">
      <c r="A7" s="4" t="n">
        <v>3</v>
      </c>
      <c r="B7" s="5" t="inlineStr">
        <is>
          <t>2026-05-07</t>
        </is>
      </c>
      <c r="C7" s="4" t="inlineStr">
        <is>
          <t>US</t>
        </is>
      </c>
      <c r="D7" s="4" t="inlineStr">
        <is>
          <t>TSLA</t>
        </is>
      </c>
      <c r="E7" s="4" t="inlineStr">
        <is>
          <t>Short</t>
        </is>
      </c>
      <c r="F7" s="4" t="inlineStr">
        <is>
          <t>Bear Flag</t>
        </is>
      </c>
      <c r="G7" s="6" t="n">
        <v>312</v>
      </c>
      <c r="H7" s="6" t="n">
        <v>318</v>
      </c>
      <c r="I7" s="6" t="n">
        <v>295</v>
      </c>
      <c r="J7" s="6" t="n">
        <v>50</v>
      </c>
      <c r="K7" s="6" t="n">
        <v>298.5</v>
      </c>
      <c r="L7" s="4" t="inlineStr">
        <is>
          <t>2026-05-08</t>
        </is>
      </c>
      <c r="M7" s="39">
        <f>IF(OR(E7="",K7=""),"",IF(E7="Long",(K7-G7)*J7,IF(E7="Short",(G7-K7)*J7,"")))</f>
        <v/>
      </c>
      <c r="N7" s="8">
        <f>IF(OR(E7="",K7="",G7=0),"",IF(E7="Long",(K7-G7)/G7,IF(E7="Short",(G7-K7)/G7,"")))</f>
        <v/>
      </c>
      <c r="O7" s="9">
        <f>IF(OR(M7="",H7=""),"",IF(ABS(J7*(G7-H7))=0,"N/A",M7/ABS(J7*(G7-H7))))</f>
        <v/>
      </c>
      <c r="P7" s="6" t="n">
        <v>1</v>
      </c>
      <c r="Q7" s="39">
        <f>IF(M7="","",M7-P7)</f>
        <v/>
      </c>
      <c r="R7" s="4" t="inlineStr"/>
      <c r="S7" s="4" t="inlineStr">
        <is>
          <t>Textbook bear flag</t>
        </is>
      </c>
    </row>
    <row r="8">
      <c r="A8" s="10" t="n">
        <v>4</v>
      </c>
      <c r="B8" s="11" t="inlineStr">
        <is>
          <t>2026-05-08</t>
        </is>
      </c>
      <c r="C8" s="10" t="inlineStr">
        <is>
          <t>FX</t>
        </is>
      </c>
      <c r="D8" s="10" t="inlineStr">
        <is>
          <t>XAUUSD</t>
        </is>
      </c>
      <c r="E8" s="10" t="inlineStr">
        <is>
          <t>Long</t>
        </is>
      </c>
      <c r="F8" s="10" t="inlineStr">
        <is>
          <t>Trend Following</t>
        </is>
      </c>
      <c r="G8" s="12" t="n">
        <v>3280</v>
      </c>
      <c r="H8" s="12" t="n">
        <v>3260</v>
      </c>
      <c r="I8" s="12" t="n">
        <v>3320</v>
      </c>
      <c r="J8" s="12" t="n">
        <v>1</v>
      </c>
      <c r="K8" s="12" t="n">
        <v>3310</v>
      </c>
      <c r="L8" s="10" t="inlineStr">
        <is>
          <t>2026-05-09</t>
        </is>
      </c>
      <c r="M8" s="41">
        <f>IF(OR(E8="",K8=""),"",IF(E8="Long",(K8-G8)*J8,IF(E8="Short",(G8-K8)*J8,"")))</f>
        <v/>
      </c>
      <c r="N8" s="18">
        <f>IF(OR(E8="",K8="",G8=0),"",IF(E8="Long",(K8-G8)/G8,IF(E8="Short",(G8-K8)/G8,"")))</f>
        <v/>
      </c>
      <c r="O8" s="15">
        <f>IF(OR(M8="",H8=""),"",IF(ABS(J8*(G8-H8))=0,"N/A",M8/ABS(J8*(G8-H8))))</f>
        <v/>
      </c>
      <c r="P8" s="12" t="n">
        <v>2</v>
      </c>
      <c r="Q8" s="41">
        <f>IF(M8="","",M8-P8)</f>
        <v/>
      </c>
      <c r="R8" s="10" t="inlineStr"/>
      <c r="S8" s="10" t="inlineStr">
        <is>
          <t>Gold trending up</t>
        </is>
      </c>
      <c r="T8" s="16" t="n"/>
    </row>
    <row r="9">
      <c r="A9" s="4" t="n">
        <v>5</v>
      </c>
      <c r="B9" s="5" t="inlineStr">
        <is>
          <t>2026-05-09</t>
        </is>
      </c>
      <c r="C9" s="4" t="inlineStr">
        <is>
          <t>A</t>
        </is>
      </c>
      <c r="D9" s="4" t="inlineStr">
        <is>
          <t>600519.SS</t>
        </is>
      </c>
      <c r="E9" s="4" t="inlineStr">
        <is>
          <t>Long</t>
        </is>
      </c>
      <c r="F9" s="4" t="inlineStr">
        <is>
          <t>Earnings Play</t>
        </is>
      </c>
      <c r="G9" s="6" t="n">
        <v>1850</v>
      </c>
      <c r="H9" s="6" t="n">
        <v>1820</v>
      </c>
      <c r="I9" s="6" t="n">
        <v>1920</v>
      </c>
      <c r="J9" s="6" t="n">
        <v>100</v>
      </c>
      <c r="K9" s="6" t="n"/>
      <c r="L9" s="4" t="n"/>
      <c r="M9" s="42">
        <f>IF(OR(E9="",K9=""),"",IF(E9="Long",(K9-G9)*J9,IF(E9="Short",(G9-K9)*J9,"")))</f>
        <v/>
      </c>
      <c r="N9" s="34">
        <f>IF(OR(E9="",K9="",G9=0),"",IF(E9="Long",(K9-G9)/G9,IF(E9="Short",(G9-K9)/G9,"")))</f>
        <v/>
      </c>
      <c r="O9" s="4">
        <f>IF(OR(M9="",H9=""),"",IF(ABS(J9*(G9-H9))=0,"N/A",M9/ABS(J9*(G9-H9))))</f>
        <v/>
      </c>
      <c r="P9" s="6" t="n">
        <v>5</v>
      </c>
      <c r="Q9" s="42">
        <f>IF(M9="","",M9-P9)</f>
        <v/>
      </c>
      <c r="R9" s="4" t="inlineStr"/>
      <c r="S9" s="4" t="inlineStr">
        <is>
          <t>Holding - earnings tomorrow</t>
        </is>
      </c>
    </row>
    <row r="10">
      <c r="A10" t="n">
        <v>6</v>
      </c>
      <c r="M10" s="43">
        <f>IF(OR(E10="",K10=""),"",IF(E10="Long",(K10-G10)*J10,IF(E10="Short",(G10-K10)*J10,"")))</f>
        <v/>
      </c>
      <c r="N10" s="44">
        <f>IF(OR(E10="",K10="",G10=0),"",IF(E10="Long",(K10-G10)/G10,IF(E10="Short",(G10-K10)/G10,"")))</f>
        <v/>
      </c>
      <c r="O10">
        <f>IF(OR(M10="",H10=""),"",IF(ABS(J10*(G10-H10))=0,"N/A",M10/ABS(J10*(G10-H10))))</f>
        <v/>
      </c>
      <c r="Q10" s="43">
        <f>IF(M10="","",M10-P10)</f>
        <v/>
      </c>
    </row>
    <row r="11">
      <c r="A11" t="n">
        <v>7</v>
      </c>
      <c r="M11" s="43">
        <f>IF(OR(E11="",K11=""),"",IF(E11="Long",(K11-G11)*J11,IF(E11="Short",(G11-K11)*J11,"")))</f>
        <v/>
      </c>
      <c r="N11" s="44">
        <f>IF(OR(E11="",K11="",G11=0),"",IF(E11="Long",(K11-G11)/G11,IF(E11="Short",(G11-K11)/G11,"")))</f>
        <v/>
      </c>
      <c r="O11">
        <f>IF(OR(M11="",H11=""),"",IF(ABS(J11*(G11-H11))=0,"N/A",M11/ABS(J11*(G11-H11))))</f>
        <v/>
      </c>
      <c r="Q11" s="43">
        <f>IF(M11="","",M11-P11)</f>
        <v/>
      </c>
    </row>
    <row r="12">
      <c r="A12" t="n">
        <v>8</v>
      </c>
      <c r="M12" s="43">
        <f>IF(OR(E12="",K12=""),"",IF(E12="Long",(K12-G12)*J12,IF(E12="Short",(G12-K12)*J12,"")))</f>
        <v/>
      </c>
      <c r="N12" s="44">
        <f>IF(OR(E12="",K12="",G12=0),"",IF(E12="Long",(K12-G12)/G12,IF(E12="Short",(G12-K12)/G12,"")))</f>
        <v/>
      </c>
      <c r="O12">
        <f>IF(OR(M12="",H12=""),"",IF(ABS(J12*(G12-H12))=0,"N/A",M12/ABS(J12*(G12-H12))))</f>
        <v/>
      </c>
      <c r="Q12" s="43">
        <f>IF(M12="","",M12-P12)</f>
        <v/>
      </c>
    </row>
    <row r="13">
      <c r="A13" t="n">
        <v>9</v>
      </c>
      <c r="M13" s="43">
        <f>IF(OR(E13="",K13=""),"",IF(E13="Long",(K13-G13)*J13,IF(E13="Short",(G13-K13)*J13,"")))</f>
        <v/>
      </c>
      <c r="N13" s="44">
        <f>IF(OR(E13="",K13="",G13=0),"",IF(E13="Long",(K13-G13)/G13,IF(E13="Short",(G13-K13)/G13,"")))</f>
        <v/>
      </c>
      <c r="O13">
        <f>IF(OR(M13="",H13=""),"",IF(ABS(J13*(G13-H13))=0,"N/A",M13/ABS(J13*(G13-H13))))</f>
        <v/>
      </c>
      <c r="Q13" s="43">
        <f>IF(M13="","",M13-P13)</f>
        <v/>
      </c>
    </row>
    <row r="14">
      <c r="A14" t="n">
        <v>10</v>
      </c>
      <c r="M14" s="43">
        <f>IF(OR(E14="",K14=""),"",IF(E14="Long",(K14-G14)*J14,IF(E14="Short",(G14-K14)*J14,"")))</f>
        <v/>
      </c>
      <c r="N14" s="44">
        <f>IF(OR(E14="",K14="",G14=0),"",IF(E14="Long",(K14-G14)/G14,IF(E14="Short",(G14-K14)/G14,"")))</f>
        <v/>
      </c>
      <c r="O14">
        <f>IF(OR(M14="",H14=""),"",IF(ABS(J14*(G14-H14))=0,"N/A",M14/ABS(J14*(G14-H14))))</f>
        <v/>
      </c>
      <c r="Q14" s="43">
        <f>IF(M14="","",M14-P14)</f>
        <v/>
      </c>
    </row>
    <row r="15">
      <c r="A15" t="n">
        <v>11</v>
      </c>
      <c r="M15" s="43">
        <f>IF(OR(E15="",K15=""),"",IF(E15="Long",(K15-G15)*J15,IF(E15="Short",(G15-K15)*J15,"")))</f>
        <v/>
      </c>
      <c r="N15" s="44">
        <f>IF(OR(E15="",K15="",G15=0),"",IF(E15="Long",(K15-G15)/G15,IF(E15="Short",(G15-K15)/G15,"")))</f>
        <v/>
      </c>
      <c r="O15">
        <f>IF(OR(M15="",H15=""),"",IF(ABS(J15*(G15-H15))=0,"N/A",M15/ABS(J15*(G15-H15))))</f>
        <v/>
      </c>
      <c r="Q15" s="43">
        <f>IF(M15="","",M15-P15)</f>
        <v/>
      </c>
    </row>
    <row r="16">
      <c r="A16" t="n">
        <v>12</v>
      </c>
      <c r="M16" s="43">
        <f>IF(OR(E16="",K16=""),"",IF(E16="Long",(K16-G16)*J16,IF(E16="Short",(G16-K16)*J16,"")))</f>
        <v/>
      </c>
      <c r="N16" s="44">
        <f>IF(OR(E16="",K16="",G16=0),"",IF(E16="Long",(K16-G16)/G16,IF(E16="Short",(G16-K16)/G16,"")))</f>
        <v/>
      </c>
      <c r="O16">
        <f>IF(OR(M16="",H16=""),"",IF(ABS(J16*(G16-H16))=0,"N/A",M16/ABS(J16*(G16-H16))))</f>
        <v/>
      </c>
      <c r="Q16" s="43">
        <f>IF(M16="","",M16-P16)</f>
        <v/>
      </c>
    </row>
    <row r="17">
      <c r="A17" t="n">
        <v>13</v>
      </c>
      <c r="M17" s="43">
        <f>IF(OR(E17="",K17=""),"",IF(E17="Long",(K17-G17)*J17,IF(E17="Short",(G17-K17)*J17,"")))</f>
        <v/>
      </c>
      <c r="N17" s="44">
        <f>IF(OR(E17="",K17="",G17=0),"",IF(E17="Long",(K17-G17)/G17,IF(E17="Short",(G17-K17)/G17,"")))</f>
        <v/>
      </c>
      <c r="O17">
        <f>IF(OR(M17="",H17=""),"",IF(ABS(J17*(G17-H17))=0,"N/A",M17/ABS(J17*(G17-H17))))</f>
        <v/>
      </c>
      <c r="Q17" s="43">
        <f>IF(M17="","",M17-P17)</f>
        <v/>
      </c>
    </row>
    <row r="18">
      <c r="A18" t="n">
        <v>14</v>
      </c>
      <c r="M18" s="43">
        <f>IF(OR(E18="",K18=""),"",IF(E18="Long",(K18-G18)*J18,IF(E18="Short",(G18-K18)*J18,"")))</f>
        <v/>
      </c>
      <c r="N18" s="44">
        <f>IF(OR(E18="",K18="",G18=0),"",IF(E18="Long",(K18-G18)/G18,IF(E18="Short",(G18-K18)/G18,"")))</f>
        <v/>
      </c>
      <c r="O18">
        <f>IF(OR(M18="",H18=""),"",IF(ABS(J18*(G18-H18))=0,"N/A",M18/ABS(J18*(G18-H18))))</f>
        <v/>
      </c>
      <c r="Q18" s="43">
        <f>IF(M18="","",M18-P18)</f>
        <v/>
      </c>
    </row>
    <row r="19">
      <c r="A19" t="n">
        <v>15</v>
      </c>
      <c r="M19" s="43">
        <f>IF(OR(E19="",K19=""),"",IF(E19="Long",(K19-G19)*J19,IF(E19="Short",(G19-K19)*J19,"")))</f>
        <v/>
      </c>
      <c r="N19" s="44">
        <f>IF(OR(E19="",K19="",G19=0),"",IF(E19="Long",(K19-G19)/G19,IF(E19="Short",(G19-K19)/G19,"")))</f>
        <v/>
      </c>
      <c r="O19">
        <f>IF(OR(M19="",H19=""),"",IF(ABS(J19*(G19-H19))=0,"N/A",M19/ABS(J19*(G19-H19))))</f>
        <v/>
      </c>
      <c r="Q19" s="43">
        <f>IF(M19="","",M19-P19)</f>
        <v/>
      </c>
    </row>
    <row r="20">
      <c r="A20" t="n">
        <v>16</v>
      </c>
      <c r="M20" s="43">
        <f>IF(OR(E20="",K20=""),"",IF(E20="Long",(K20-G20)*J20,IF(E20="Short",(G20-K20)*J20,"")))</f>
        <v/>
      </c>
      <c r="N20" s="44">
        <f>IF(OR(E20="",K20="",G20=0),"",IF(E20="Long",(K20-G20)/G20,IF(E20="Short",(G20-K20)/G20,"")))</f>
        <v/>
      </c>
      <c r="O20">
        <f>IF(OR(M20="",H20=""),"",IF(ABS(J20*(G20-H20))=0,"N/A",M20/ABS(J20*(G20-H20))))</f>
        <v/>
      </c>
      <c r="Q20" s="43">
        <f>IF(M20="","",M20-P20)</f>
        <v/>
      </c>
    </row>
    <row r="21">
      <c r="A21" t="n">
        <v>17</v>
      </c>
      <c r="M21" s="43">
        <f>IF(OR(E21="",K21=""),"",IF(E21="Long",(K21-G21)*J21,IF(E21="Short",(G21-K21)*J21,"")))</f>
        <v/>
      </c>
      <c r="N21" s="44">
        <f>IF(OR(E21="",K21="",G21=0),"",IF(E21="Long",(K21-G21)/G21,IF(E21="Short",(G21-K21)/G21,"")))</f>
        <v/>
      </c>
      <c r="O21">
        <f>IF(OR(M21="",H21=""),"",IF(ABS(J21*(G21-H21))=0,"N/A",M21/ABS(J21*(G21-H21))))</f>
        <v/>
      </c>
      <c r="Q21" s="43">
        <f>IF(M21="","",M21-P21)</f>
        <v/>
      </c>
    </row>
    <row r="22">
      <c r="A22" t="n">
        <v>18</v>
      </c>
      <c r="M22" s="43">
        <f>IF(OR(E22="",K22=""),"",IF(E22="Long",(K22-G22)*J22,IF(E22="Short",(G22-K22)*J22,"")))</f>
        <v/>
      </c>
      <c r="N22" s="44">
        <f>IF(OR(E22="",K22="",G22=0),"",IF(E22="Long",(K22-G22)/G22,IF(E22="Short",(G22-K22)/G22,"")))</f>
        <v/>
      </c>
      <c r="O22">
        <f>IF(OR(M22="",H22=""),"",IF(ABS(J22*(G22-H22))=0,"N/A",M22/ABS(J22*(G22-H22))))</f>
        <v/>
      </c>
      <c r="Q22" s="43">
        <f>IF(M22="","",M22-P22)</f>
        <v/>
      </c>
    </row>
    <row r="23">
      <c r="A23" t="n">
        <v>19</v>
      </c>
      <c r="M23" s="43">
        <f>IF(OR(E23="",K23=""),"",IF(E23="Long",(K23-G23)*J23,IF(E23="Short",(G23-K23)*J23,"")))</f>
        <v/>
      </c>
      <c r="N23" s="44">
        <f>IF(OR(E23="",K23="",G23=0),"",IF(E23="Long",(K23-G23)/G23,IF(E23="Short",(G23-K23)/G23,"")))</f>
        <v/>
      </c>
      <c r="O23">
        <f>IF(OR(M23="",H23=""),"",IF(ABS(J23*(G23-H23))=0,"N/A",M23/ABS(J23*(G23-H23))))</f>
        <v/>
      </c>
      <c r="Q23" s="43">
        <f>IF(M23="","",M23-P23)</f>
        <v/>
      </c>
    </row>
    <row r="24">
      <c r="A24" t="n">
        <v>20</v>
      </c>
      <c r="M24" s="43">
        <f>IF(OR(E24="",K24=""),"",IF(E24="Long",(K24-G24)*J24,IF(E24="Short",(G24-K24)*J24,"")))</f>
        <v/>
      </c>
      <c r="N24" s="44">
        <f>IF(OR(E24="",K24="",G24=0),"",IF(E24="Long",(K24-G24)/G24,IF(E24="Short",(G24-K24)/G24,"")))</f>
        <v/>
      </c>
      <c r="O24">
        <f>IF(OR(M24="",H24=""),"",IF(ABS(J24*(G24-H24))=0,"N/A",M24/ABS(J24*(G24-H24))))</f>
        <v/>
      </c>
      <c r="Q24" s="43">
        <f>IF(M24="","",M24-P24)</f>
        <v/>
      </c>
    </row>
    <row r="25">
      <c r="A25" t="n">
        <v>21</v>
      </c>
      <c r="M25" s="43">
        <f>IF(OR(E25="",K25=""),"",IF(E25="Long",(K25-G25)*J25,IF(E25="Short",(G25-K25)*J25,"")))</f>
        <v/>
      </c>
      <c r="N25" s="44">
        <f>IF(OR(E25="",K25="",G25=0),"",IF(E25="Long",(K25-G25)/G25,IF(E25="Short",(G25-K25)/G25,"")))</f>
        <v/>
      </c>
      <c r="O25">
        <f>IF(OR(M25="",H25=""),"",IF(ABS(J25*(G25-H25))=0,"N/A",M25/ABS(J25*(G25-H25))))</f>
        <v/>
      </c>
      <c r="Q25" s="43">
        <f>IF(M25="","",M25-P25)</f>
        <v/>
      </c>
    </row>
    <row r="26">
      <c r="A26" t="n">
        <v>22</v>
      </c>
      <c r="M26" s="43">
        <f>IF(OR(E26="",K26=""),"",IF(E26="Long",(K26-G26)*J26,IF(E26="Short",(G26-K26)*J26,"")))</f>
        <v/>
      </c>
      <c r="N26" s="44">
        <f>IF(OR(E26="",K26="",G26=0),"",IF(E26="Long",(K26-G26)/G26,IF(E26="Short",(G26-K26)/G26,"")))</f>
        <v/>
      </c>
      <c r="O26">
        <f>IF(OR(M26="",H26=""),"",IF(ABS(J26*(G26-H26))=0,"N/A",M26/ABS(J26*(G26-H26))))</f>
        <v/>
      </c>
      <c r="Q26" s="43">
        <f>IF(M26="","",M26-P26)</f>
        <v/>
      </c>
    </row>
    <row r="27">
      <c r="A27" t="n">
        <v>23</v>
      </c>
      <c r="M27" s="43">
        <f>IF(OR(E27="",K27=""),"",IF(E27="Long",(K27-G27)*J27,IF(E27="Short",(G27-K27)*J27,"")))</f>
        <v/>
      </c>
      <c r="N27" s="44">
        <f>IF(OR(E27="",K27="",G27=0),"",IF(E27="Long",(K27-G27)/G27,IF(E27="Short",(G27-K27)/G27,"")))</f>
        <v/>
      </c>
      <c r="O27">
        <f>IF(OR(M27="",H27=""),"",IF(ABS(J27*(G27-H27))=0,"N/A",M27/ABS(J27*(G27-H27))))</f>
        <v/>
      </c>
      <c r="Q27" s="43">
        <f>IF(M27="","",M27-P27)</f>
        <v/>
      </c>
    </row>
    <row r="28">
      <c r="A28" t="n">
        <v>24</v>
      </c>
      <c r="M28" s="43">
        <f>IF(OR(E28="",K28=""),"",IF(E28="Long",(K28-G28)*J28,IF(E28="Short",(G28-K28)*J28,"")))</f>
        <v/>
      </c>
      <c r="N28" s="44">
        <f>IF(OR(E28="",K28="",G28=0),"",IF(E28="Long",(K28-G28)/G28,IF(E28="Short",(G28-K28)/G28,"")))</f>
        <v/>
      </c>
      <c r="O28">
        <f>IF(OR(M28="",H28=""),"",IF(ABS(J28*(G28-H28))=0,"N/A",M28/ABS(J28*(G28-H28))))</f>
        <v/>
      </c>
      <c r="Q28" s="43">
        <f>IF(M28="","",M28-P28)</f>
        <v/>
      </c>
    </row>
    <row r="29">
      <c r="A29" t="n">
        <v>25</v>
      </c>
      <c r="M29" s="43">
        <f>IF(OR(E29="",K29=""),"",IF(E29="Long",(K29-G29)*J29,IF(E29="Short",(G29-K29)*J29,"")))</f>
        <v/>
      </c>
      <c r="N29" s="44">
        <f>IF(OR(E29="",K29="",G29=0),"",IF(E29="Long",(K29-G29)/G29,IF(E29="Short",(G29-K29)/G29,"")))</f>
        <v/>
      </c>
      <c r="O29">
        <f>IF(OR(M29="",H29=""),"",IF(ABS(J29*(G29-H29))=0,"N/A",M29/ABS(J29*(G29-H29))))</f>
        <v/>
      </c>
      <c r="Q29" s="43">
        <f>IF(M29="","",M29-P29)</f>
        <v/>
      </c>
    </row>
    <row r="30">
      <c r="A30" t="n">
        <v>26</v>
      </c>
      <c r="M30" s="43">
        <f>IF(OR(E30="",K30=""),"",IF(E30="Long",(K30-G30)*J30,IF(E30="Short",(G30-K30)*J30,"")))</f>
        <v/>
      </c>
      <c r="N30" s="44">
        <f>IF(OR(E30="",K30="",G30=0),"",IF(E30="Long",(K30-G30)/G30,IF(E30="Short",(G30-K30)/G30,"")))</f>
        <v/>
      </c>
      <c r="O30">
        <f>IF(OR(M30="",H30=""),"",IF(ABS(J30*(G30-H30))=0,"N/A",M30/ABS(J30*(G30-H30))))</f>
        <v/>
      </c>
      <c r="Q30" s="43">
        <f>IF(M30="","",M30-P30)</f>
        <v/>
      </c>
    </row>
    <row r="31">
      <c r="A31" t="n">
        <v>27</v>
      </c>
      <c r="M31" s="43">
        <f>IF(OR(E31="",K31=""),"",IF(E31="Long",(K31-G31)*J31,IF(E31="Short",(G31-K31)*J31,"")))</f>
        <v/>
      </c>
      <c r="N31" s="44">
        <f>IF(OR(E31="",K31="",G31=0),"",IF(E31="Long",(K31-G31)/G31,IF(E31="Short",(G31-K31)/G31,"")))</f>
        <v/>
      </c>
      <c r="O31">
        <f>IF(OR(M31="",H31=""),"",IF(ABS(J31*(G31-H31))=0,"N/A",M31/ABS(J31*(G31-H31))))</f>
        <v/>
      </c>
      <c r="Q31" s="43">
        <f>IF(M31="","",M31-P31)</f>
        <v/>
      </c>
    </row>
    <row r="32">
      <c r="A32" t="n">
        <v>28</v>
      </c>
      <c r="M32" s="43">
        <f>IF(OR(E32="",K32=""),"",IF(E32="Long",(K32-G32)*J32,IF(E32="Short",(G32-K32)*J32,"")))</f>
        <v/>
      </c>
      <c r="N32" s="44">
        <f>IF(OR(E32="",K32="",G32=0),"",IF(E32="Long",(K32-G32)/G32,IF(E32="Short",(G32-K32)/G32,"")))</f>
        <v/>
      </c>
      <c r="O32">
        <f>IF(OR(M32="",H32=""),"",IF(ABS(J32*(G32-H32))=0,"N/A",M32/ABS(J32*(G32-H32))))</f>
        <v/>
      </c>
      <c r="Q32" s="43">
        <f>IF(M32="","",M32-P32)</f>
        <v/>
      </c>
    </row>
    <row r="33">
      <c r="A33" t="n">
        <v>29</v>
      </c>
      <c r="M33" s="43">
        <f>IF(OR(E33="",K33=""),"",IF(E33="Long",(K33-G33)*J33,IF(E33="Short",(G33-K33)*J33,"")))</f>
        <v/>
      </c>
      <c r="N33" s="44">
        <f>IF(OR(E33="",K33="",G33=0),"",IF(E33="Long",(K33-G33)/G33,IF(E33="Short",(G33-K33)/G33,"")))</f>
        <v/>
      </c>
      <c r="O33">
        <f>IF(OR(M33="",H33=""),"",IF(ABS(J33*(G33-H33))=0,"N/A",M33/ABS(J33*(G33-H33))))</f>
        <v/>
      </c>
      <c r="Q33" s="43">
        <f>IF(M33="","",M33-P33)</f>
        <v/>
      </c>
    </row>
    <row r="34">
      <c r="A34" t="n">
        <v>30</v>
      </c>
      <c r="M34" s="43">
        <f>IF(OR(E34="",K34=""),"",IF(E34="Long",(K34-G34)*J34,IF(E34="Short",(G34-K34)*J34,"")))</f>
        <v/>
      </c>
      <c r="N34" s="44">
        <f>IF(OR(E34="",K34="",G34=0),"",IF(E34="Long",(K34-G34)/G34,IF(E34="Short",(G34-K34)/G34,"")))</f>
        <v/>
      </c>
      <c r="O34">
        <f>IF(OR(M34="",H34=""),"",IF(ABS(J34*(G34-H34))=0,"N/A",M34/ABS(J34*(G34-H34))))</f>
        <v/>
      </c>
      <c r="Q34" s="43">
        <f>IF(M34="","",M34-P34)</f>
        <v/>
      </c>
    </row>
    <row r="35">
      <c r="A35" t="n">
        <v>31</v>
      </c>
      <c r="M35" s="43">
        <f>IF(OR(E35="",K35=""),"",IF(E35="Long",(K35-G35)*J35,IF(E35="Short",(G35-K35)*J35,"")))</f>
        <v/>
      </c>
      <c r="N35" s="44">
        <f>IF(OR(E35="",K35="",G35=0),"",IF(E35="Long",(K35-G35)/G35,IF(E35="Short",(G35-K35)/G35,"")))</f>
        <v/>
      </c>
      <c r="O35">
        <f>IF(OR(M35="",H35=""),"",IF(ABS(J35*(G35-H35))=0,"N/A",M35/ABS(J35*(G35-H35))))</f>
        <v/>
      </c>
      <c r="Q35" s="43">
        <f>IF(M35="","",M35-P35)</f>
        <v/>
      </c>
    </row>
    <row r="36">
      <c r="A36" t="n">
        <v>32</v>
      </c>
      <c r="M36" s="43">
        <f>IF(OR(E36="",K36=""),"",IF(E36="Long",(K36-G36)*J36,IF(E36="Short",(G36-K36)*J36,"")))</f>
        <v/>
      </c>
      <c r="N36" s="44">
        <f>IF(OR(E36="",K36="",G36=0),"",IF(E36="Long",(K36-G36)/G36,IF(E36="Short",(G36-K36)/G36,"")))</f>
        <v/>
      </c>
      <c r="O36">
        <f>IF(OR(M36="",H36=""),"",IF(ABS(J36*(G36-H36))=0,"N/A",M36/ABS(J36*(G36-H36))))</f>
        <v/>
      </c>
      <c r="Q36" s="43">
        <f>IF(M36="","",M36-P36)</f>
        <v/>
      </c>
    </row>
    <row r="37">
      <c r="A37" t="n">
        <v>33</v>
      </c>
      <c r="M37" s="43">
        <f>IF(OR(E37="",K37=""),"",IF(E37="Long",(K37-G37)*J37,IF(E37="Short",(G37-K37)*J37,"")))</f>
        <v/>
      </c>
      <c r="N37" s="44">
        <f>IF(OR(E37="",K37="",G37=0),"",IF(E37="Long",(K37-G37)/G37,IF(E37="Short",(G37-K37)/G37,"")))</f>
        <v/>
      </c>
      <c r="O37">
        <f>IF(OR(M37="",H37=""),"",IF(ABS(J37*(G37-H37))=0,"N/A",M37/ABS(J37*(G37-H37))))</f>
        <v/>
      </c>
      <c r="Q37" s="43">
        <f>IF(M37="","",M37-P37)</f>
        <v/>
      </c>
    </row>
    <row r="38">
      <c r="A38" t="n">
        <v>34</v>
      </c>
      <c r="M38" s="43">
        <f>IF(OR(E38="",K38=""),"",IF(E38="Long",(K38-G38)*J38,IF(E38="Short",(G38-K38)*J38,"")))</f>
        <v/>
      </c>
      <c r="N38" s="44">
        <f>IF(OR(E38="",K38="",G38=0),"",IF(E38="Long",(K38-G38)/G38,IF(E38="Short",(G38-K38)/G38,"")))</f>
        <v/>
      </c>
      <c r="O38">
        <f>IF(OR(M38="",H38=""),"",IF(ABS(J38*(G38-H38))=0,"N/A",M38/ABS(J38*(G38-H38))))</f>
        <v/>
      </c>
      <c r="Q38" s="43">
        <f>IF(M38="","",M38-P38)</f>
        <v/>
      </c>
    </row>
    <row r="39">
      <c r="A39" t="n">
        <v>35</v>
      </c>
      <c r="M39" s="43">
        <f>IF(OR(E39="",K39=""),"",IF(E39="Long",(K39-G39)*J39,IF(E39="Short",(G39-K39)*J39,"")))</f>
        <v/>
      </c>
      <c r="N39" s="44">
        <f>IF(OR(E39="",K39="",G39=0),"",IF(E39="Long",(K39-G39)/G39,IF(E39="Short",(G39-K39)/G39,"")))</f>
        <v/>
      </c>
      <c r="O39">
        <f>IF(OR(M39="",H39=""),"",IF(ABS(J39*(G39-H39))=0,"N/A",M39/ABS(J39*(G39-H39))))</f>
        <v/>
      </c>
      <c r="Q39" s="43">
        <f>IF(M39="","",M39-P39)</f>
        <v/>
      </c>
    </row>
    <row r="40">
      <c r="A40" t="n">
        <v>36</v>
      </c>
      <c r="M40" s="43">
        <f>IF(OR(E40="",K40=""),"",IF(E40="Long",(K40-G40)*J40,IF(E40="Short",(G40-K40)*J40,"")))</f>
        <v/>
      </c>
      <c r="N40" s="44">
        <f>IF(OR(E40="",K40="",G40=0),"",IF(E40="Long",(K40-G40)/G40,IF(E40="Short",(G40-K40)/G40,"")))</f>
        <v/>
      </c>
      <c r="O40">
        <f>IF(OR(M40="",H40=""),"",IF(ABS(J40*(G40-H40))=0,"N/A",M40/ABS(J40*(G40-H40))))</f>
        <v/>
      </c>
      <c r="Q40" s="43">
        <f>IF(M40="","",M40-P40)</f>
        <v/>
      </c>
    </row>
    <row r="41">
      <c r="A41" t="n">
        <v>37</v>
      </c>
      <c r="M41" s="43">
        <f>IF(OR(E41="",K41=""),"",IF(E41="Long",(K41-G41)*J41,IF(E41="Short",(G41-K41)*J41,"")))</f>
        <v/>
      </c>
      <c r="N41" s="44">
        <f>IF(OR(E41="",K41="",G41=0),"",IF(E41="Long",(K41-G41)/G41,IF(E41="Short",(G41-K41)/G41,"")))</f>
        <v/>
      </c>
      <c r="O41">
        <f>IF(OR(M41="",H41=""),"",IF(ABS(J41*(G41-H41))=0,"N/A",M41/ABS(J41*(G41-H41))))</f>
        <v/>
      </c>
      <c r="Q41" s="43">
        <f>IF(M41="","",M41-P41)</f>
        <v/>
      </c>
    </row>
    <row r="42">
      <c r="A42" t="n">
        <v>38</v>
      </c>
      <c r="M42" s="43">
        <f>IF(OR(E42="",K42=""),"",IF(E42="Long",(K42-G42)*J42,IF(E42="Short",(G42-K42)*J42,"")))</f>
        <v/>
      </c>
      <c r="N42" s="44">
        <f>IF(OR(E42="",K42="",G42=0),"",IF(E42="Long",(K42-G42)/G42,IF(E42="Short",(G42-K42)/G42,"")))</f>
        <v/>
      </c>
      <c r="O42">
        <f>IF(OR(M42="",H42=""),"",IF(ABS(J42*(G42-H42))=0,"N/A",M42/ABS(J42*(G42-H42))))</f>
        <v/>
      </c>
      <c r="Q42" s="43">
        <f>IF(M42="","",M42-P42)</f>
        <v/>
      </c>
    </row>
    <row r="43">
      <c r="A43" t="n">
        <v>39</v>
      </c>
      <c r="M43" s="43">
        <f>IF(OR(E43="",K43=""),"",IF(E43="Long",(K43-G43)*J43,IF(E43="Short",(G43-K43)*J43,"")))</f>
        <v/>
      </c>
      <c r="N43" s="44">
        <f>IF(OR(E43="",K43="",G43=0),"",IF(E43="Long",(K43-G43)/G43,IF(E43="Short",(G43-K43)/G43,"")))</f>
        <v/>
      </c>
      <c r="O43">
        <f>IF(OR(M43="",H43=""),"",IF(ABS(J43*(G43-H43))=0,"N/A",M43/ABS(J43*(G43-H43))))</f>
        <v/>
      </c>
      <c r="Q43" s="43">
        <f>IF(M43="","",M43-P43)</f>
        <v/>
      </c>
    </row>
    <row r="44">
      <c r="A44" t="n">
        <v>40</v>
      </c>
      <c r="M44" s="43">
        <f>IF(OR(E44="",K44=""),"",IF(E44="Long",(K44-G44)*J44,IF(E44="Short",(G44-K44)*J44,"")))</f>
        <v/>
      </c>
      <c r="N44" s="44">
        <f>IF(OR(E44="",K44="",G44=0),"",IF(E44="Long",(K44-G44)/G44,IF(E44="Short",(G44-K44)/G44,"")))</f>
        <v/>
      </c>
      <c r="O44">
        <f>IF(OR(M44="",H44=""),"",IF(ABS(J44*(G44-H44))=0,"N/A",M44/ABS(J44*(G44-H44))))</f>
        <v/>
      </c>
      <c r="Q44" s="43">
        <f>IF(M44="","",M44-P44)</f>
        <v/>
      </c>
    </row>
    <row r="45">
      <c r="A45" t="n">
        <v>41</v>
      </c>
      <c r="M45" s="43">
        <f>IF(OR(E45="",K45=""),"",IF(E45="Long",(K45-G45)*J45,IF(E45="Short",(G45-K45)*J45,"")))</f>
        <v/>
      </c>
      <c r="N45" s="44">
        <f>IF(OR(E45="",K45="",G45=0),"",IF(E45="Long",(K45-G45)/G45,IF(E45="Short",(G45-K45)/G45,"")))</f>
        <v/>
      </c>
      <c r="O45">
        <f>IF(OR(M45="",H45=""),"",IF(ABS(J45*(G45-H45))=0,"N/A",M45/ABS(J45*(G45-H45))))</f>
        <v/>
      </c>
      <c r="Q45" s="43">
        <f>IF(M45="","",M45-P45)</f>
        <v/>
      </c>
    </row>
    <row r="46">
      <c r="A46" t="n">
        <v>42</v>
      </c>
      <c r="M46" s="43">
        <f>IF(OR(E46="",K46=""),"",IF(E46="Long",(K46-G46)*J46,IF(E46="Short",(G46-K46)*J46,"")))</f>
        <v/>
      </c>
      <c r="N46" s="44">
        <f>IF(OR(E46="",K46="",G46=0),"",IF(E46="Long",(K46-G46)/G46,IF(E46="Short",(G46-K46)/G46,"")))</f>
        <v/>
      </c>
      <c r="O46">
        <f>IF(OR(M46="",H46=""),"",IF(ABS(J46*(G46-H46))=0,"N/A",M46/ABS(J46*(G46-H46))))</f>
        <v/>
      </c>
      <c r="Q46" s="43">
        <f>IF(M46="","",M46-P46)</f>
        <v/>
      </c>
    </row>
    <row r="47">
      <c r="A47" t="n">
        <v>43</v>
      </c>
      <c r="M47" s="43">
        <f>IF(OR(E47="",K47=""),"",IF(E47="Long",(K47-G47)*J47,IF(E47="Short",(G47-K47)*J47,"")))</f>
        <v/>
      </c>
      <c r="N47" s="44">
        <f>IF(OR(E47="",K47="",G47=0),"",IF(E47="Long",(K47-G47)/G47,IF(E47="Short",(G47-K47)/G47,"")))</f>
        <v/>
      </c>
      <c r="O47">
        <f>IF(OR(M47="",H47=""),"",IF(ABS(J47*(G47-H47))=0,"N/A",M47/ABS(J47*(G47-H47))))</f>
        <v/>
      </c>
      <c r="Q47" s="43">
        <f>IF(M47="","",M47-P47)</f>
        <v/>
      </c>
    </row>
    <row r="48">
      <c r="A48" t="n">
        <v>44</v>
      </c>
      <c r="M48" s="43">
        <f>IF(OR(E48="",K48=""),"",IF(E48="Long",(K48-G48)*J48,IF(E48="Short",(G48-K48)*J48,"")))</f>
        <v/>
      </c>
      <c r="N48" s="44">
        <f>IF(OR(E48="",K48="",G48=0),"",IF(E48="Long",(K48-G48)/G48,IF(E48="Short",(G48-K48)/G48,"")))</f>
        <v/>
      </c>
      <c r="O48">
        <f>IF(OR(M48="",H48=""),"",IF(ABS(J48*(G48-H48))=0,"N/A",M48/ABS(J48*(G48-H48))))</f>
        <v/>
      </c>
      <c r="Q48" s="43">
        <f>IF(M48="","",M48-P48)</f>
        <v/>
      </c>
    </row>
    <row r="49">
      <c r="A49" t="n">
        <v>45</v>
      </c>
      <c r="M49" s="43">
        <f>IF(OR(E49="",K49=""),"",IF(E49="Long",(K49-G49)*J49,IF(E49="Short",(G49-K49)*J49,"")))</f>
        <v/>
      </c>
      <c r="N49" s="44">
        <f>IF(OR(E49="",K49="",G49=0),"",IF(E49="Long",(K49-G49)/G49,IF(E49="Short",(G49-K49)/G49,"")))</f>
        <v/>
      </c>
      <c r="O49">
        <f>IF(OR(M49="",H49=""),"",IF(ABS(J49*(G49-H49))=0,"N/A",M49/ABS(J49*(G49-H49))))</f>
        <v/>
      </c>
      <c r="Q49" s="43">
        <f>IF(M49="","",M49-P49)</f>
        <v/>
      </c>
    </row>
    <row r="50">
      <c r="A50" t="n">
        <v>46</v>
      </c>
      <c r="M50" s="43">
        <f>IF(OR(E50="",K50=""),"",IF(E50="Long",(K50-G50)*J50,IF(E50="Short",(G50-K50)*J50,"")))</f>
        <v/>
      </c>
      <c r="N50" s="44">
        <f>IF(OR(E50="",K50="",G50=0),"",IF(E50="Long",(K50-G50)/G50,IF(E50="Short",(G50-K50)/G50,"")))</f>
        <v/>
      </c>
      <c r="O50">
        <f>IF(OR(M50="",H50=""),"",IF(ABS(J50*(G50-H50))=0,"N/A",M50/ABS(J50*(G50-H50))))</f>
        <v/>
      </c>
      <c r="Q50" s="43">
        <f>IF(M50="","",M50-P50)</f>
        <v/>
      </c>
    </row>
    <row r="51">
      <c r="A51" t="n">
        <v>47</v>
      </c>
      <c r="M51" s="43">
        <f>IF(OR(E51="",K51=""),"",IF(E51="Long",(K51-G51)*J51,IF(E51="Short",(G51-K51)*J51,"")))</f>
        <v/>
      </c>
      <c r="N51" s="44">
        <f>IF(OR(E51="",K51="",G51=0),"",IF(E51="Long",(K51-G51)/G51,IF(E51="Short",(G51-K51)/G51,"")))</f>
        <v/>
      </c>
      <c r="O51">
        <f>IF(OR(M51="",H51=""),"",IF(ABS(J51*(G51-H51))=0,"N/A",M51/ABS(J51*(G51-H51))))</f>
        <v/>
      </c>
      <c r="Q51" s="43">
        <f>IF(M51="","",M51-P51)</f>
        <v/>
      </c>
    </row>
    <row r="52">
      <c r="A52" t="n">
        <v>48</v>
      </c>
      <c r="M52" s="43">
        <f>IF(OR(E52="",K52=""),"",IF(E52="Long",(K52-G52)*J52,IF(E52="Short",(G52-K52)*J52,"")))</f>
        <v/>
      </c>
      <c r="N52" s="44">
        <f>IF(OR(E52="",K52="",G52=0),"",IF(E52="Long",(K52-G52)/G52,IF(E52="Short",(G52-K52)/G52,"")))</f>
        <v/>
      </c>
      <c r="O52">
        <f>IF(OR(M52="",H52=""),"",IF(ABS(J52*(G52-H52))=0,"N/A",M52/ABS(J52*(G52-H52))))</f>
        <v/>
      </c>
      <c r="Q52" s="43">
        <f>IF(M52="","",M52-P52)</f>
        <v/>
      </c>
    </row>
    <row r="53">
      <c r="A53" t="n">
        <v>49</v>
      </c>
      <c r="M53" s="43">
        <f>IF(OR(E53="",K53=""),"",IF(E53="Long",(K53-G53)*J53,IF(E53="Short",(G53-K53)*J53,"")))</f>
        <v/>
      </c>
      <c r="N53" s="44">
        <f>IF(OR(E53="",K53="",G53=0),"",IF(E53="Long",(K53-G53)/G53,IF(E53="Short",(G53-K53)/G53,"")))</f>
        <v/>
      </c>
      <c r="O53">
        <f>IF(OR(M53="",H53=""),"",IF(ABS(J53*(G53-H53))=0,"N/A",M53/ABS(J53*(G53-H53))))</f>
        <v/>
      </c>
      <c r="Q53" s="43">
        <f>IF(M53="","",M53-P53)</f>
        <v/>
      </c>
    </row>
    <row r="54">
      <c r="A54" t="n">
        <v>50</v>
      </c>
      <c r="M54" s="43">
        <f>IF(OR(E54="",K54=""),"",IF(E54="Long",(K54-G54)*J54,IF(E54="Short",(G54-K54)*J54,"")))</f>
        <v/>
      </c>
      <c r="N54" s="44">
        <f>IF(OR(E54="",K54="",G54=0),"",IF(E54="Long",(K54-G54)/G54,IF(E54="Short",(G54-K54)/G54,"")))</f>
        <v/>
      </c>
      <c r="O54">
        <f>IF(OR(M54="",H54=""),"",IF(ABS(J54*(G54-H54))=0,"N/A",M54/ABS(J54*(G54-H54))))</f>
        <v/>
      </c>
      <c r="Q54" s="43">
        <f>IF(M54="","",M54-P54)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4A843"/>
    <outlinePr summaryBelow="1" summaryRight="1"/>
    <pageSetUpPr/>
  </sheetPr>
  <dimension ref="A1:E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49" t="inlineStr">
        <is>
          <t>TRADING DASHBOARD</t>
        </is>
      </c>
      <c r="B1" s="38" t="n"/>
      <c r="C1" s="38" t="n"/>
      <c r="D1" s="38" t="n"/>
    </row>
    <row r="2">
      <c r="A2" s="2" t="inlineStr">
        <is>
          <t>Real-time performance overview</t>
        </is>
      </c>
    </row>
    <row r="4">
      <c r="A4" s="19" t="inlineStr">
        <is>
          <t>TOTAL TRADES</t>
        </is>
      </c>
      <c r="B4" s="20">
        <f>COUNTA('📋 Trade Log'!A5:A1000)-COUNTBLANK('📋 Trade Log'!A5:A1000)</f>
        <v/>
      </c>
      <c r="C4" s="19" t="inlineStr">
        <is>
          <t>WIN RATE</t>
        </is>
      </c>
      <c r="D4" s="21">
        <f>IF(COUNTIF('📋 Trade Log'!M5:M1000,"&gt;0")+COUNTIF('📋 Trade Log'!M5:M1000,"&lt;0")=0,"N/A",COUNTIF('📋 Trade Log'!M5:M1000,"&gt;0")/(COUNTIF('📋 Trade Log'!M5:M1000,"&gt;0")+COUNTIF('📋 Trade Log'!M5:M1000,"&lt;0")))</f>
        <v/>
      </c>
    </row>
    <row r="5">
      <c r="A5" s="19" t="inlineStr">
        <is>
          <t>WINNING TRADES</t>
        </is>
      </c>
      <c r="B5" s="20">
        <f>COUNTIF('📋 Trade Log'!M5:M1000,"&gt;0")</f>
        <v/>
      </c>
      <c r="C5" s="19" t="inlineStr">
        <is>
          <t>LOSING TRADES</t>
        </is>
      </c>
      <c r="D5" s="20">
        <f>COUNTIF('📋 Trade Log'!M5:M1000,"&lt;0")</f>
        <v/>
      </c>
    </row>
    <row r="6">
      <c r="A6" s="19" t="inlineStr">
        <is>
          <t>GROSS P&amp;L</t>
        </is>
      </c>
      <c r="B6" s="22">
        <f>SUM('📋 Trade Log'!M5:M1000)</f>
        <v/>
      </c>
      <c r="C6" s="19" t="inlineStr">
        <is>
          <t>NET P&amp;L</t>
        </is>
      </c>
      <c r="D6" s="22">
        <f>SUM('📋 Trade Log'!Q5:Q1000)</f>
        <v/>
      </c>
    </row>
    <row r="7">
      <c r="A7" s="19" t="inlineStr">
        <is>
          <t>AVG WIN</t>
        </is>
      </c>
      <c r="B7" s="22">
        <f>IF(COUNTIF('📋 Trade Log'!M5:M1000,"&gt;0")=0,0,AVERAGEIF('📋 Trade Log'!M5:M1000,"&gt;0"))</f>
        <v/>
      </c>
      <c r="C7" s="19" t="inlineStr">
        <is>
          <t>AVG LOSS</t>
        </is>
      </c>
      <c r="D7" s="22">
        <f>IF(COUNTIF('📋 Trade Log'!M5:M1000,"&lt;0")=0,0,AVERAGEIF('📋 Trade Log'!M5:M1000,"&lt;0"))</f>
        <v/>
      </c>
    </row>
    <row r="8">
      <c r="A8" s="19" t="inlineStr">
        <is>
          <t>PROFIT FACTOR</t>
        </is>
      </c>
      <c r="B8" s="23">
        <f>IF(SUMIF('📋 Trade Log'!M5:M1000,"&lt;0")=0,"N/A",-SUMIF('📋 Trade Log'!M5:M1000,"&gt;0")/SUMIF('📋 Trade Log'!M5:M1000,"&lt;0"))</f>
        <v/>
      </c>
      <c r="C8" s="19" t="inlineStr">
        <is>
          <t>AVG R-MULTIPLE</t>
        </is>
      </c>
      <c r="D8" s="23">
        <f>IF(COUNTA('📋 Trade Log'!O5:O1000)=0,"N/A",AVERAGE('📋 Trade Log'!O5:O1000))</f>
        <v/>
      </c>
    </row>
    <row r="9">
      <c r="A9" s="19" t="inlineStr">
        <is>
          <t>BEST TRADE</t>
        </is>
      </c>
      <c r="B9" s="22">
        <f>COUNTA('📋 Trade Log'!E5:E1000)</f>
        <v/>
      </c>
      <c r="C9" s="19">
        <f>IF(B9=0,"0%",COUNTIF('📋 Trade Log'!Q5:Q1000,"&gt;0")/B9)</f>
        <v/>
      </c>
      <c r="D9" s="22">
        <f>SUM('📋 Trade Log'!Q5:Q1000)</f>
        <v/>
      </c>
    </row>
    <row r="10">
      <c r="A10" s="19" t="inlineStr">
        <is>
          <t>AVG HOLD (DAYS)</t>
        </is>
      </c>
      <c r="B10" s="24">
        <f>IF(COUNTA('📋 Trade Log'!L5:L1000)=0,"N/A",SUMPRODUCT(('📋 Trade Log'!L5:L1000-'📋 Trade Log'!B5:B1000)*('📋 Trade Log'!L5:L1000&lt;&gt;""))/COUNTA('📋 Trade Log'!L5:L1000))</f>
        <v/>
      </c>
      <c r="C10" s="19">
        <f>IF(COUNTIF('📋 Trade Log'!Q5:Q1000,"&gt;0")=0,"N/A",AVERAGEIF('📋 Trade Log'!Q5:Q1000,"&gt;0"))</f>
        <v/>
      </c>
      <c r="D10" s="22">
        <f>IF(COUNTIF('📋 Trade Log'!Q5:Q1000,"&lt;0")=0,"N/A",AVERAGEIF('📋 Trade Log'!Q5:Q1000,"&lt;0"))</f>
        <v/>
      </c>
    </row>
    <row r="11">
      <c r="A11" s="19" t="inlineStr">
        <is>
          <t>WORST TRADE</t>
        </is>
      </c>
      <c r="B11" s="20">
        <f>IF(COUNTA('📋 Trade Log'!Q5:Q1000)=0,"",INDEX('📋 Trade Log'!Q5:Q1000,COUNTA('📋 Trade Log'!Q5:Q1000)))</f>
        <v/>
      </c>
      <c r="C11" s="19">
        <f>IF(SUMIF('📋 Trade Log'!Q5:Q1000,"&gt;0")=0,"N/A",SUMIF('📋 Trade Log'!Q5:Q1000,"&gt;0")/ABS(SUMIF('📋 Trade Log'!Q5:Q1000,"&lt;0")))</f>
        <v/>
      </c>
      <c r="D11" s="22">
        <f>IF(COUNTA('📋 Trade Log'!Q5:Q1000)=0,"",MIN('📋 Trade Log'!Q5:Q1000))</f>
        <v/>
      </c>
    </row>
    <row r="14">
      <c r="A14" s="25" t="inlineStr">
        <is>
          <t>PERFORMANCE BY MARKET</t>
        </is>
      </c>
    </row>
    <row r="15">
      <c r="A15" s="3" t="inlineStr">
        <is>
          <t>Market</t>
        </is>
      </c>
      <c r="B15" s="3" t="inlineStr">
        <is>
          <t>Trades</t>
        </is>
      </c>
      <c r="C15" s="3" t="inlineStr">
        <is>
          <t>Win Rate</t>
        </is>
      </c>
      <c r="D15" s="3" t="inlineStr">
        <is>
          <t>Net P&amp;L</t>
        </is>
      </c>
      <c r="E15" s="3" t="inlineStr">
        <is>
          <t>Avg R</t>
        </is>
      </c>
    </row>
    <row r="16">
      <c r="A16" s="26" t="inlineStr">
        <is>
          <t>US</t>
        </is>
      </c>
      <c r="B16" s="26">
        <f>COUNTIF('📋 Trade Log'!C5:C1000,"US")</f>
        <v/>
      </c>
      <c r="C16" s="27">
        <f>IF(B16=0,"N/A",COUNTIFS('📋 Trade Log'!C5:C1000,"US",'📋 Trade Log'!M5:M1000,"&gt;0")/B16)</f>
        <v/>
      </c>
      <c r="D16" s="28">
        <f>SUMIF('📋 Trade Log'!C5:C1000,"US",'📋 Trade Log'!Q5:Q1000)</f>
        <v/>
      </c>
      <c r="E16" s="29">
        <f>IF(B16=0,"N/A",AVERAGEIF('📋 Trade Log'!C5:C1000,"US",'📋 Trade Log'!O5:O1000))</f>
        <v/>
      </c>
    </row>
    <row r="17">
      <c r="A17" s="26" t="inlineStr">
        <is>
          <t>HK</t>
        </is>
      </c>
      <c r="B17" s="26">
        <f>COUNTIF('📋 Trade Log'!C5:C1000,"HK")</f>
        <v/>
      </c>
      <c r="C17" s="27">
        <f>IF(B17=0,"N/A",COUNTIFS('📋 Trade Log'!C5:C1000,"HK",'📋 Trade Log'!M5:M1000,"&gt;0")/B17)</f>
        <v/>
      </c>
      <c r="D17" s="28">
        <f>SUMIF('📋 Trade Log'!C5:C1000,"HK",'📋 Trade Log'!Q5:Q1000)</f>
        <v/>
      </c>
      <c r="E17" s="29">
        <f>IF(B17=0,"N/A",AVERAGEIF('📋 Trade Log'!C5:C1000,"HK",'📋 Trade Log'!O5:O1000))</f>
        <v/>
      </c>
    </row>
    <row r="18">
      <c r="A18" s="26" t="inlineStr">
        <is>
          <t>A</t>
        </is>
      </c>
      <c r="B18" s="26">
        <f>COUNTIF('📋 Trade Log'!C5:C1000,"A")</f>
        <v/>
      </c>
      <c r="C18" s="27">
        <f>IF(B18=0,"N/A",COUNTIFS('📋 Trade Log'!C5:C1000,"A",'📋 Trade Log'!M5:M1000,"&gt;0")/B18)</f>
        <v/>
      </c>
      <c r="D18" s="28">
        <f>SUMIF('📋 Trade Log'!C5:C1000,"A",'📋 Trade Log'!Q5:Q1000)</f>
        <v/>
      </c>
      <c r="E18" s="29">
        <f>IF(B18=0,"N/A",AVERAGEIF('📋 Trade Log'!C5:C1000,"A",'📋 Trade Log'!O5:O1000))</f>
        <v/>
      </c>
    </row>
    <row r="19">
      <c r="A19" s="26" t="inlineStr">
        <is>
          <t>FX</t>
        </is>
      </c>
      <c r="B19" s="26">
        <f>COUNTIF('📋 Trade Log'!C5:C1000,"FX")</f>
        <v/>
      </c>
      <c r="C19" s="27">
        <f>IF(B19=0,"N/A",COUNTIFS('📋 Trade Log'!C5:C1000,"FX",'📋 Trade Log'!M5:M1000,"&gt;0")/B19)</f>
        <v/>
      </c>
      <c r="D19" s="28">
        <f>SUMIF('📋 Trade Log'!C5:C1000,"FX",'📋 Trade Log'!Q5:Q1000)</f>
        <v/>
      </c>
      <c r="E19" s="29">
        <f>IF(B19=0,"N/A",AVERAGEIF('📋 Trade Log'!C5:C1000,"FX",'📋 Trade Log'!O5:O1000))</f>
        <v/>
      </c>
    </row>
    <row r="20">
      <c r="A20" s="26" t="inlineStr">
        <is>
          <t>Crypto</t>
        </is>
      </c>
      <c r="B20" s="26">
        <f>COUNTIF('📋 Trade Log'!C5:C1000,"Crypto")</f>
        <v/>
      </c>
      <c r="C20" s="27">
        <f>IF(B20=0,"N/A",COUNTIFS('📋 Trade Log'!C5:C1000,"Crypto",'📋 Trade Log'!M5:M1000,"&gt;0")/B20)</f>
        <v/>
      </c>
      <c r="D20" s="28">
        <f>SUMIF('📋 Trade Log'!C5:C1000,"Crypto",'📋 Trade Log'!Q5:Q1000)</f>
        <v/>
      </c>
      <c r="E20" s="29">
        <f>IF(B20=0,"N/A",AVERAGEIF('📋 Trade Log'!C5:C1000,"Crypto",'📋 Trade Log'!O5:O1000))</f>
        <v/>
      </c>
    </row>
    <row r="23">
      <c r="A23" s="25" t="inlineStr">
        <is>
          <t>PERFORMANCE BY STRATEGY</t>
        </is>
      </c>
    </row>
    <row r="24">
      <c r="A24" s="3" t="inlineStr">
        <is>
          <t>Strategy</t>
        </is>
      </c>
      <c r="B24" s="3" t="inlineStr">
        <is>
          <t>Trades</t>
        </is>
      </c>
      <c r="C24" s="3" t="inlineStr">
        <is>
          <t>Win Rate</t>
        </is>
      </c>
      <c r="D24" s="3" t="inlineStr">
        <is>
          <t>Net P&amp;L</t>
        </is>
      </c>
      <c r="E24" s="3" t="inlineStr">
        <is>
          <t>Avg R</t>
        </is>
      </c>
    </row>
    <row r="25">
      <c r="A25" s="26">
        <f>IFERROR(INDEX('📋 Trade Log'!F5:F1000,SMALL(IF('📋 Trade Log'!F5:F1000&lt;&gt;"",ROW(F5:F1000)-ROW(F5)+1),1)),"")</f>
        <v/>
      </c>
      <c r="B25" s="26">
        <f>IF(A25="",0,COUNTIF('📋 Trade Log'!F5:F1000,A25))</f>
        <v/>
      </c>
      <c r="C25" s="27">
        <f>IF(B25=0,"N/A",COUNTIFS('📋 Trade Log'!F5:F1000,A25,'📋 Trade Log'!M5:M1000,"&gt;0")/B25)</f>
        <v/>
      </c>
      <c r="D25" s="28">
        <f>IF(A25="","",SUMIF('📋 Trade Log'!F5:F1000,A25,'📋 Trade Log'!Q5:Q1000))</f>
        <v/>
      </c>
      <c r="E25" s="29">
        <f>IF(A25="","",AVERAGEIF('📋 Trade Log'!F5:F1000,A25,'📋 Trade Log'!O5:O1000))</f>
        <v/>
      </c>
    </row>
    <row r="26">
      <c r="A26" s="26">
        <f>IFERROR(INDEX('📋 Trade Log'!F5:F1000,SMALL(IF('📋 Trade Log'!F5:F1000&lt;&gt;"",ROW(F5:F1000)-ROW(F5)+1),2)),"")</f>
        <v/>
      </c>
      <c r="B26" s="26">
        <f>IF(A26="",0,COUNTIF('📋 Trade Log'!F5:F1000,A26))</f>
        <v/>
      </c>
      <c r="C26" s="27">
        <f>IF(B26=0,"N/A",COUNTIFS('📋 Trade Log'!F5:F1000,A26,'📋 Trade Log'!M5:M1000,"&gt;0")/B26)</f>
        <v/>
      </c>
      <c r="D26" s="28">
        <f>IF(A26="","",SUMIF('📋 Trade Log'!F5:F1000,A26,'📋 Trade Log'!Q5:Q1000))</f>
        <v/>
      </c>
      <c r="E26" s="29">
        <f>IF(A26="","",AVERAGEIF('📋 Trade Log'!F5:F1000,A26,'📋 Trade Log'!O5:O1000))</f>
        <v/>
      </c>
    </row>
    <row r="27">
      <c r="A27" s="26">
        <f>IFERROR(INDEX('📋 Trade Log'!F5:F1000,SMALL(IF('📋 Trade Log'!F5:F1000&lt;&gt;"",ROW(F5:F1000)-ROW(F5)+1),3)),"")</f>
        <v/>
      </c>
      <c r="B27" s="26">
        <f>IF(A27="",0,COUNTIF('📋 Trade Log'!F5:F1000,A27))</f>
        <v/>
      </c>
      <c r="C27" s="27">
        <f>IF(B27=0,"N/A",COUNTIFS('📋 Trade Log'!F5:F1000,A27,'📋 Trade Log'!M5:M1000,"&gt;0")/B27)</f>
        <v/>
      </c>
      <c r="D27" s="28">
        <f>IF(A27="","",SUMIF('📋 Trade Log'!F5:F1000,A27,'📋 Trade Log'!Q5:Q1000))</f>
        <v/>
      </c>
      <c r="E27" s="29">
        <f>IF(A27="","",AVERAGEIF('📋 Trade Log'!F5:F1000,A27,'📋 Trade Log'!O5:O1000))</f>
        <v/>
      </c>
    </row>
    <row r="28">
      <c r="A28" s="26">
        <f>IFERROR(INDEX('📋 Trade Log'!F5:F1000,SMALL(IF('📋 Trade Log'!F5:F1000&lt;&gt;"",ROW(F5:F1000)-ROW(F5)+1),4)),"")</f>
        <v/>
      </c>
      <c r="B28" s="26">
        <f>IF(A28="",0,COUNTIF('📋 Trade Log'!F5:F1000,A28))</f>
        <v/>
      </c>
      <c r="C28" s="27">
        <f>IF(B28=0,"N/A",COUNTIFS('📋 Trade Log'!F5:F1000,A28,'📋 Trade Log'!M5:M1000,"&gt;0")/B28)</f>
        <v/>
      </c>
      <c r="D28" s="28">
        <f>IF(A28="","",SUMIF('📋 Trade Log'!F5:F1000,A28,'📋 Trade Log'!Q5:Q1000))</f>
        <v/>
      </c>
      <c r="E28" s="29">
        <f>IF(A28="","",AVERAGEIF('📋 Trade Log'!F5:F1000,A28,'📋 Trade Log'!O5:O1000))</f>
        <v/>
      </c>
    </row>
    <row r="29">
      <c r="A29" s="26">
        <f>IFERROR(INDEX('📋 Trade Log'!F5:F1000,SMALL(IF('📋 Trade Log'!F5:F1000&lt;&gt;"",ROW(F5:F1000)-ROW(F5)+1),5)),"")</f>
        <v/>
      </c>
      <c r="B29" s="26">
        <f>IF(A29="",0,COUNTIF('📋 Trade Log'!F5:F1000,A29))</f>
        <v/>
      </c>
      <c r="C29" s="27">
        <f>IF(B29=0,"N/A",COUNTIFS('📋 Trade Log'!F5:F1000,A29,'📋 Trade Log'!M5:M1000,"&gt;0")/B29)</f>
        <v/>
      </c>
      <c r="D29" s="28">
        <f>IF(A29="","",SUMIF('📋 Trade Log'!F5:F1000,A29,'📋 Trade Log'!Q5:Q1000))</f>
        <v/>
      </c>
      <c r="E29" s="29">
        <f>IF(A29="","",AVERAGEIF('📋 Trade Log'!F5:F1000,A29,'📋 Trade Log'!O5:O1000))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49" t="inlineStr">
        <is>
          <t>TRADING ANALYTICS</t>
        </is>
      </c>
      <c r="B1" s="38" t="n"/>
      <c r="C1" s="38" t="n"/>
      <c r="D1" s="38" t="n"/>
    </row>
    <row r="2">
      <c r="A2" s="2" t="inlineStr">
        <is>
          <t>Deep performance analysis</t>
        </is>
      </c>
    </row>
    <row r="4">
      <c r="A4" s="25" t="inlineStr">
        <is>
          <t>CUMULATIVE P&amp;L (by trade)</t>
        </is>
      </c>
      <c r="G4" s="25" t="inlineStr">
        <is>
          <t>WIN/LOSS DISTRIBUTION</t>
        </is>
      </c>
    </row>
    <row r="5">
      <c r="A5" s="3" t="inlineStr">
        <is>
          <t>Trade #</t>
        </is>
      </c>
      <c r="B5" s="3" t="inlineStr">
        <is>
          <t>Date</t>
        </is>
      </c>
      <c r="C5" s="3" t="inlineStr">
        <is>
          <t>Net P&amp;L</t>
        </is>
      </c>
      <c r="D5" s="3" t="inlineStr">
        <is>
          <t>Cumulative P&amp;L</t>
        </is>
      </c>
      <c r="E5" s="3" t="n"/>
      <c r="F5" s="3" t="n"/>
      <c r="G5" s="3" t="inlineStr">
        <is>
          <t>Range</t>
        </is>
      </c>
      <c r="H5" s="3" t="inlineStr">
        <is>
          <t>Count</t>
        </is>
      </c>
      <c r="I5" s="3" t="inlineStr">
        <is>
          <t>%</t>
        </is>
      </c>
    </row>
    <row r="6">
      <c r="A6" s="4" t="n">
        <v>1</v>
      </c>
      <c r="B6" s="5">
        <f>INDEX('📋 Trade Log'!B5:B1000,1)</f>
        <v/>
      </c>
      <c r="C6" s="6">
        <f>INDEX('📋 Trade Log'!Q5:Q1000,1)</f>
        <v/>
      </c>
      <c r="D6" s="6">
        <f>C6</f>
        <v/>
      </c>
      <c r="G6" s="4" t="inlineStr">
        <is>
          <t>&gt; $500</t>
        </is>
      </c>
      <c r="H6" s="30">
        <f>COUNTIF('📋 Trade Log'!Q5:Q1000,"&gt;500")</f>
        <v/>
      </c>
      <c r="I6" s="31">
        <f>IF(SUM($H$6:$H$11)=0,"",H6/SUM($H$6:$H$11))</f>
        <v/>
      </c>
    </row>
    <row r="7">
      <c r="A7" s="4" t="n">
        <v>2</v>
      </c>
      <c r="B7" s="5">
        <f>INDEX('📋 Trade Log'!B5:B1000,2)</f>
        <v/>
      </c>
      <c r="C7" s="6">
        <f>INDEX('📋 Trade Log'!Q5:Q1000,2)</f>
        <v/>
      </c>
      <c r="D7" s="6">
        <f>D6+C7</f>
        <v/>
      </c>
      <c r="G7" s="4" t="inlineStr">
        <is>
          <t>$100 - $500</t>
        </is>
      </c>
      <c r="H7" s="30">
        <f>COUNTIFS('📋 Trade Log'!Q5:Q1000,"&gt;=100",'📋 Trade Log'!Q5:Q1000,"&lt;=500")</f>
        <v/>
      </c>
      <c r="I7" s="31">
        <f>IF(SUM($H$6:$H$11)=0,"",H7/SUM($H$6:$H$11))</f>
        <v/>
      </c>
    </row>
    <row r="8">
      <c r="A8" s="4" t="n">
        <v>3</v>
      </c>
      <c r="B8" s="5">
        <f>INDEX('📋 Trade Log'!B5:B1000,3)</f>
        <v/>
      </c>
      <c r="C8" s="6">
        <f>INDEX('📋 Trade Log'!Q5:Q1000,3)</f>
        <v/>
      </c>
      <c r="D8" s="6">
        <f>D7+C8</f>
        <v/>
      </c>
      <c r="G8" s="4" t="inlineStr">
        <is>
          <t>$0 - $100</t>
        </is>
      </c>
      <c r="H8" s="30">
        <f>COUNTIFS('📋 Trade Log'!Q5:Q1000,"&gt;=0",'📋 Trade Log'!Q5:Q1000,"&lt;100")</f>
        <v/>
      </c>
      <c r="I8" s="31">
        <f>IF(SUM($H$6:$H$11)=0,"",H8/SUM($H$6:$H$11))</f>
        <v/>
      </c>
    </row>
    <row r="9">
      <c r="A9" s="4" t="n">
        <v>4</v>
      </c>
      <c r="B9" s="5">
        <f>INDEX('📋 Trade Log'!B5:B1000,4)</f>
        <v/>
      </c>
      <c r="C9" s="6">
        <f>INDEX('📋 Trade Log'!Q5:Q1000,4)</f>
        <v/>
      </c>
      <c r="D9" s="6">
        <f>D8+C9</f>
        <v/>
      </c>
      <c r="G9" s="4" t="inlineStr">
        <is>
          <t>-$100 - $0</t>
        </is>
      </c>
      <c r="H9" s="30">
        <f>COUNTIFS('📋 Trade Log'!Q5:Q1000,"&gt;=-100",'📋 Trade Log'!Q5:Q1000,"&lt;0")</f>
        <v/>
      </c>
      <c r="I9" s="31">
        <f>IF(SUM($H$6:$H$11)=0,"",H9/SUM($H$6:$H$11))</f>
        <v/>
      </c>
    </row>
    <row r="10">
      <c r="A10" s="4" t="n">
        <v>5</v>
      </c>
      <c r="B10" s="5">
        <f>INDEX('📋 Trade Log'!B5:B1000,5)</f>
        <v/>
      </c>
      <c r="C10" s="6">
        <f>INDEX('📋 Trade Log'!Q5:Q1000,5)</f>
        <v/>
      </c>
      <c r="D10" s="6">
        <f>D9+C10</f>
        <v/>
      </c>
      <c r="G10" s="4" t="inlineStr">
        <is>
          <t>-$500 - -$100</t>
        </is>
      </c>
      <c r="H10" s="30">
        <f>COUNTIFS('📋 Trade Log'!Q5:Q1000,"&gt;=-500",'📋 Trade Log'!Q5:Q1000,"&lt;-100")</f>
        <v/>
      </c>
      <c r="I10" s="31">
        <f>IF(SUM($H$6:$H$11)=0,"",H10/SUM($H$6:$H$11))</f>
        <v/>
      </c>
    </row>
    <row r="11">
      <c r="A11" s="4" t="n">
        <v>6</v>
      </c>
      <c r="B11" s="5">
        <f>INDEX('📋 Trade Log'!B5:B1000,6)</f>
        <v/>
      </c>
      <c r="C11" s="6">
        <f>INDEX('📋 Trade Log'!Q5:Q1000,6)</f>
        <v/>
      </c>
      <c r="D11" s="6">
        <f>D10+C11</f>
        <v/>
      </c>
      <c r="G11" s="4" t="inlineStr">
        <is>
          <t>&lt; -$500</t>
        </is>
      </c>
      <c r="H11" s="30">
        <f>COUNTIF('📋 Trade Log'!Q5:Q1000,"&lt;-500")</f>
        <v/>
      </c>
      <c r="I11" s="31">
        <f>IF(SUM($H$6:$H$11)=0,"",H11/SUM($H$6:$H$11))</f>
        <v/>
      </c>
    </row>
    <row r="12">
      <c r="A12" s="4" t="n">
        <v>7</v>
      </c>
      <c r="B12" s="5">
        <f>INDEX('📋 Trade Log'!B5:B1000,7)</f>
        <v/>
      </c>
      <c r="C12" s="6">
        <f>INDEX('📋 Trade Log'!Q5:Q1000,7)</f>
        <v/>
      </c>
      <c r="D12" s="6">
        <f>D11+C12</f>
        <v/>
      </c>
    </row>
    <row r="13">
      <c r="A13" s="4" t="n">
        <v>8</v>
      </c>
      <c r="B13" s="5">
        <f>INDEX('📋 Trade Log'!B5:B1000,8)</f>
        <v/>
      </c>
      <c r="C13" s="6">
        <f>INDEX('📋 Trade Log'!Q5:Q1000,8)</f>
        <v/>
      </c>
      <c r="D13" s="6">
        <f>D12+C13</f>
        <v/>
      </c>
    </row>
    <row r="14">
      <c r="A14" s="25" t="n">
        <v>9</v>
      </c>
      <c r="B14" s="5">
        <f>INDEX('📋 Trade Log'!B5:B1000,9)</f>
        <v/>
      </c>
      <c r="C14" s="6">
        <f>INDEX('📋 Trade Log'!Q5:Q1000,9)</f>
        <v/>
      </c>
      <c r="D14" s="6">
        <f>D13+C14</f>
        <v/>
      </c>
    </row>
    <row r="15">
      <c r="A15" s="3" t="n">
        <v>10</v>
      </c>
      <c r="B15" s="32">
        <f>INDEX('📋 Trade Log'!B5:B1000,10)</f>
        <v/>
      </c>
      <c r="C15" s="33">
        <f>INDEX('📋 Trade Log'!Q5:Q1000,10)</f>
        <v/>
      </c>
      <c r="D15" s="33">
        <f>D14+C15</f>
        <v/>
      </c>
      <c r="E15" s="3" t="n"/>
      <c r="F15" s="3" t="n"/>
    </row>
    <row r="16">
      <c r="A16" s="45" t="inlineStr">
        <is>
          <t>MONTHLY PERFORMANCE</t>
        </is>
      </c>
      <c r="B16" s="5" t="n"/>
      <c r="C16" s="34" t="n"/>
      <c r="D16" s="6" t="n"/>
      <c r="E16" s="35" t="n"/>
      <c r="F16" s="36" t="n"/>
    </row>
    <row r="17">
      <c r="A17" s="50" t="inlineStr">
        <is>
          <t>Jan</t>
        </is>
      </c>
      <c r="B17" s="51">
        <f>COUNTIFS('📋 Trade Log'!B5:B1000,"&gt;=2026-01-01",'📋 Trade Log'!B5:B1000,"&lt;2026-02-01")</f>
        <v/>
      </c>
      <c r="C17" s="52">
        <f>IF(B17=0,"N/A",COUNTIFS('📋 Trade Log'!Q5:Q1000,"&gt;0",'📋 Trade Log'!B5:B1000,"&gt;=2026-01-01",'📋 Trade Log'!B5:B1000,"&lt;2026-02-01")/B17)</f>
        <v/>
      </c>
      <c r="D17" s="53">
        <f>SUMIFS('📋 Trade Log'!M5:M1000,'📋 Trade Log'!B5:B1000,"&gt;=2026-01-01",'📋 Trade Log'!B5:B1000,"&lt;2026-02-01")</f>
        <v/>
      </c>
      <c r="E17" s="54">
        <f>SUMIFS('📋 Trade Log'!Q5:Q1000,'📋 Trade Log'!B5:B1000,"&gt;=2026-01-01",'📋 Trade Log'!B5:B1000,"&lt;2026-02-01")</f>
        <v/>
      </c>
      <c r="F17" s="55">
        <f>IF(B17=0,"N/A",AVERAGEIFS('📋 Trade Log'!O5:O1000,'📋 Trade Log'!B5:B1000,"&gt;=2026-01-01",'📋 Trade Log'!B5:B1000,"&lt;2026-02-01"))</f>
        <v/>
      </c>
    </row>
    <row r="18">
      <c r="A18" s="4" t="inlineStr">
        <is>
          <t>Feb</t>
        </is>
      </c>
      <c r="B18" s="5">
        <f>COUNTIFS('📋 Trade Log'!B5:B1000,"&gt;=2026-02-01",'📋 Trade Log'!B5:B1000,"&lt;2026-03-01")</f>
        <v/>
      </c>
      <c r="C18" s="34">
        <f>IF(B18=0,"N/A",COUNTIFS('📋 Trade Log'!Q5:Q1000,"&gt;0",'📋 Trade Log'!B5:B1000,"&gt;=2026-02-01",'📋 Trade Log'!B5:B1000,"&lt;2026-03-01")/B18)</f>
        <v/>
      </c>
      <c r="D18" s="6">
        <f>SUMIFS('📋 Trade Log'!M5:M1000,'📋 Trade Log'!B5:B1000,"&gt;=2026-02-01",'📋 Trade Log'!B5:B1000,"&lt;2026-03-01")</f>
        <v/>
      </c>
      <c r="E18" s="35">
        <f>SUMIFS('📋 Trade Log'!Q5:Q1000,'📋 Trade Log'!B5:B1000,"&gt;=2026-02-01",'📋 Trade Log'!B5:B1000,"&lt;2026-03-01")</f>
        <v/>
      </c>
      <c r="F18" s="36">
        <f>IF(B18=0,"N/A",AVERAGEIFS('📋 Trade Log'!O5:O1000,'📋 Trade Log'!B5:B1000,"&gt;=2026-02-01",'📋 Trade Log'!B5:B1000,"&lt;2026-03-01"))</f>
        <v/>
      </c>
    </row>
    <row r="19">
      <c r="A19" s="4" t="inlineStr">
        <is>
          <t>Mar</t>
        </is>
      </c>
      <c r="B19" s="5">
        <f>COUNTIFS('📋 Trade Log'!B5:B1000,"&gt;=2026-03-01",'📋 Trade Log'!B5:B1000,"&lt;2026-04-01")</f>
        <v/>
      </c>
      <c r="C19" s="34">
        <f>IF(B19=0,"N/A",COUNTIFS('📋 Trade Log'!Q5:Q1000,"&gt;0",'📋 Trade Log'!B5:B1000,"&gt;=2026-03-01",'📋 Trade Log'!B5:B1000,"&lt;2026-04-01")/B19)</f>
        <v/>
      </c>
      <c r="D19" s="6">
        <f>SUMIFS('📋 Trade Log'!M5:M1000,'📋 Trade Log'!B5:B1000,"&gt;=2026-03-01",'📋 Trade Log'!B5:B1000,"&lt;2026-04-01")</f>
        <v/>
      </c>
      <c r="E19" s="35">
        <f>SUMIFS('📋 Trade Log'!Q5:Q1000,'📋 Trade Log'!B5:B1000,"&gt;=2026-03-01",'📋 Trade Log'!B5:B1000,"&lt;2026-04-01")</f>
        <v/>
      </c>
      <c r="F19" s="36">
        <f>IF(B19=0,"N/A",AVERAGEIFS('📋 Trade Log'!O5:O1000,'📋 Trade Log'!B5:B1000,"&gt;=2026-03-01",'📋 Trade Log'!B5:B1000,"&lt;2026-04-01"))</f>
        <v/>
      </c>
    </row>
    <row r="20">
      <c r="A20" s="4" t="inlineStr">
        <is>
          <t>Apr</t>
        </is>
      </c>
      <c r="B20" s="5">
        <f>COUNTIFS('📋 Trade Log'!B5:B1000,"&gt;=2026-04-01",'📋 Trade Log'!B5:B1000,"&lt;2026-05-01")</f>
        <v/>
      </c>
      <c r="C20" s="34">
        <f>IF(B20=0,"N/A",COUNTIFS('📋 Trade Log'!Q5:Q1000,"&gt;0",'📋 Trade Log'!B5:B1000,"&gt;=2026-04-01",'📋 Trade Log'!B5:B1000,"&lt;2026-05-01")/B20)</f>
        <v/>
      </c>
      <c r="D20" s="6">
        <f>SUMIFS('📋 Trade Log'!M5:M1000,'📋 Trade Log'!B5:B1000,"&gt;=2026-04-01",'📋 Trade Log'!B5:B1000,"&lt;2026-05-01")</f>
        <v/>
      </c>
      <c r="E20" s="35">
        <f>SUMIFS('📋 Trade Log'!Q5:Q1000,'📋 Trade Log'!B5:B1000,"&gt;=2026-04-01",'📋 Trade Log'!B5:B1000,"&lt;2026-05-01")</f>
        <v/>
      </c>
      <c r="F20" s="36">
        <f>IF(B20=0,"N/A",AVERAGEIFS('📋 Trade Log'!O5:O1000,'📋 Trade Log'!B5:B1000,"&gt;=2026-04-01",'📋 Trade Log'!B5:B1000,"&lt;2026-05-01"))</f>
        <v/>
      </c>
    </row>
    <row r="21">
      <c r="A21" s="4" t="inlineStr">
        <is>
          <t>May</t>
        </is>
      </c>
      <c r="B21" s="5">
        <f>COUNTIFS('📋 Trade Log'!B5:B1000,"&gt;=2026-05-01",'📋 Trade Log'!B5:B1000,"&lt;2026-06-01")</f>
        <v/>
      </c>
      <c r="C21" s="34">
        <f>IF(B21=0,"N/A",COUNTIFS('📋 Trade Log'!Q5:Q1000,"&gt;0",'📋 Trade Log'!B5:B1000,"&gt;=2026-05-01",'📋 Trade Log'!B5:B1000,"&lt;2026-06-01")/B21)</f>
        <v/>
      </c>
      <c r="D21" s="6">
        <f>SUMIFS('📋 Trade Log'!M5:M1000,'📋 Trade Log'!B5:B1000,"&gt;=2026-05-01",'📋 Trade Log'!B5:B1000,"&lt;2026-06-01")</f>
        <v/>
      </c>
      <c r="E21" s="35">
        <f>SUMIFS('📋 Trade Log'!Q5:Q1000,'📋 Trade Log'!B5:B1000,"&gt;=2026-05-01",'📋 Trade Log'!B5:B1000,"&lt;2026-06-01")</f>
        <v/>
      </c>
      <c r="F21" s="36">
        <f>IF(B21=0,"N/A",AVERAGEIFS('📋 Trade Log'!O5:O1000,'📋 Trade Log'!B5:B1000,"&gt;=2026-05-01",'📋 Trade Log'!B5:B1000,"&lt;2026-06-01"))</f>
        <v/>
      </c>
    </row>
    <row r="22">
      <c r="A22" s="4" t="inlineStr">
        <is>
          <t>Jun</t>
        </is>
      </c>
      <c r="B22" s="5">
        <f>COUNTIFS('📋 Trade Log'!B5:B1000,"&gt;=2026-06-01",'📋 Trade Log'!B5:B1000,"&lt;2026-07-01")</f>
        <v/>
      </c>
      <c r="C22" s="34">
        <f>IF(B22=0,"N/A",COUNTIFS('📋 Trade Log'!Q5:Q1000,"&gt;0",'📋 Trade Log'!B5:B1000,"&gt;=2026-06-01",'📋 Trade Log'!B5:B1000,"&lt;2026-07-01")/B22)</f>
        <v/>
      </c>
      <c r="D22" s="6">
        <f>SUMIFS('📋 Trade Log'!M5:M1000,'📋 Trade Log'!B5:B1000,"&gt;=2026-06-01",'📋 Trade Log'!B5:B1000,"&lt;2026-07-01")</f>
        <v/>
      </c>
      <c r="E22" s="35">
        <f>SUMIFS('📋 Trade Log'!Q5:Q1000,'📋 Trade Log'!B5:B1000,"&gt;=2026-06-01",'📋 Trade Log'!B5:B1000,"&lt;2026-07-01")</f>
        <v/>
      </c>
      <c r="F22" s="36">
        <f>IF(B22=0,"N/A",AVERAGEIFS('📋 Trade Log'!O5:O1000,'📋 Trade Log'!B5:B1000,"&gt;=2026-06-01",'📋 Trade Log'!B5:B1000,"&lt;2026-07-01"))</f>
        <v/>
      </c>
    </row>
    <row r="23">
      <c r="A23" s="4" t="inlineStr">
        <is>
          <t>Jul</t>
        </is>
      </c>
      <c r="B23" s="5">
        <f>COUNTIFS('📋 Trade Log'!B5:B1000,"&gt;=2026-07-01",'📋 Trade Log'!B5:B1000,"&lt;2026-08-01")</f>
        <v/>
      </c>
      <c r="C23" s="34">
        <f>IF(B23=0,"N/A",COUNTIFS('📋 Trade Log'!Q5:Q1000,"&gt;0",'📋 Trade Log'!B5:B1000,"&gt;=2026-07-01",'📋 Trade Log'!B5:B1000,"&lt;2026-08-01")/B23)</f>
        <v/>
      </c>
      <c r="D23" s="6">
        <f>SUMIFS('📋 Trade Log'!M5:M1000,'📋 Trade Log'!B5:B1000,"&gt;=2026-07-01",'📋 Trade Log'!B5:B1000,"&lt;2026-08-01")</f>
        <v/>
      </c>
      <c r="E23" s="35">
        <f>SUMIFS('📋 Trade Log'!Q5:Q1000,'📋 Trade Log'!B5:B1000,"&gt;=2026-07-01",'📋 Trade Log'!B5:B1000,"&lt;2026-08-01")</f>
        <v/>
      </c>
      <c r="F23" s="36">
        <f>IF(B23=0,"N/A",AVERAGEIFS('📋 Trade Log'!O5:O1000,'📋 Trade Log'!B5:B1000,"&gt;=2026-07-01",'📋 Trade Log'!B5:B1000,"&lt;2026-08-01"))</f>
        <v/>
      </c>
    </row>
    <row r="24">
      <c r="A24" s="4" t="inlineStr">
        <is>
          <t>Aug</t>
        </is>
      </c>
      <c r="B24" s="5">
        <f>COUNTIFS('📋 Trade Log'!B5:B1000,"&gt;=2026-08-01",'📋 Trade Log'!B5:B1000,"&lt;2026-09-01")</f>
        <v/>
      </c>
      <c r="C24" s="34">
        <f>IF(B24=0,"N/A",COUNTIFS('📋 Trade Log'!Q5:Q1000,"&gt;0",'📋 Trade Log'!B5:B1000,"&gt;=2026-08-01",'📋 Trade Log'!B5:B1000,"&lt;2026-09-01")/B24)</f>
        <v/>
      </c>
      <c r="D24" s="6">
        <f>SUMIFS('📋 Trade Log'!M5:M1000,'📋 Trade Log'!B5:B1000,"&gt;=2026-08-01",'📋 Trade Log'!B5:B1000,"&lt;2026-09-01")</f>
        <v/>
      </c>
      <c r="E24" s="35">
        <f>SUMIFS('📋 Trade Log'!Q5:Q1000,'📋 Trade Log'!B5:B1000,"&gt;=2026-08-01",'📋 Trade Log'!B5:B1000,"&lt;2026-09-01")</f>
        <v/>
      </c>
      <c r="F24" s="36">
        <f>IF(B24=0,"N/A",AVERAGEIFS('📋 Trade Log'!O5:O1000,'📋 Trade Log'!B5:B1000,"&gt;=2026-08-01",'📋 Trade Log'!B5:B1000,"&lt;2026-09-01"))</f>
        <v/>
      </c>
    </row>
    <row r="25">
      <c r="A25" s="4" t="inlineStr">
        <is>
          <t>Sep</t>
        </is>
      </c>
      <c r="B25" s="5">
        <f>COUNTIFS('📋 Trade Log'!B5:B1000,"&gt;=2026-09-01",'📋 Trade Log'!B5:B1000,"&lt;2026-10-01")</f>
        <v/>
      </c>
      <c r="C25" s="34">
        <f>IF(B25=0,"N/A",COUNTIFS('📋 Trade Log'!Q5:Q1000,"&gt;0",'📋 Trade Log'!B5:B1000,"&gt;=2026-09-01",'📋 Trade Log'!B5:B1000,"&lt;2026-10-01")/B25)</f>
        <v/>
      </c>
      <c r="D25" s="6">
        <f>SUMIFS('📋 Trade Log'!M5:M1000,'📋 Trade Log'!B5:B1000,"&gt;=2026-09-01",'📋 Trade Log'!B5:B1000,"&lt;2026-10-01")</f>
        <v/>
      </c>
      <c r="E25" s="35">
        <f>SUMIFS('📋 Trade Log'!Q5:Q1000,'📋 Trade Log'!B5:B1000,"&gt;=2026-09-01",'📋 Trade Log'!B5:B1000,"&lt;2026-10-01")</f>
        <v/>
      </c>
      <c r="F25" s="36">
        <f>IF(B25=0,"N/A",AVERAGEIFS('📋 Trade Log'!O5:O1000,'📋 Trade Log'!B5:B1000,"&gt;=2026-09-01",'📋 Trade Log'!B5:B1000,"&lt;2026-10-01"))</f>
        <v/>
      </c>
    </row>
    <row r="26">
      <c r="A26" s="4" t="inlineStr">
        <is>
          <t>Oct</t>
        </is>
      </c>
      <c r="B26" s="4">
        <f>COUNTIFS('📋 Trade Log'!B5:B1000,"&gt;=2026-10-01",'📋 Trade Log'!B5:B1000,"&lt;2026-11-01")</f>
        <v/>
      </c>
      <c r="C26" s="34">
        <f>IF(B26=0,"N/A",COUNTIFS('📋 Trade Log'!Q5:Q1000,"&gt;0",'📋 Trade Log'!B5:B1000,"&gt;=2026-10-01",'📋 Trade Log'!B5:B1000,"&lt;2026-11-01")/B26)</f>
        <v/>
      </c>
      <c r="D26" s="6">
        <f>SUMIFS('📋 Trade Log'!M5:M1000,'📋 Trade Log'!B5:B1000,"&gt;=2026-10-01",'📋 Trade Log'!B5:B1000,"&lt;2026-11-01")</f>
        <v/>
      </c>
      <c r="E26" s="35">
        <f>SUMIFS('📋 Trade Log'!Q5:Q1000,'📋 Trade Log'!B5:B1000,"&gt;=2026-10-01",'📋 Trade Log'!B5:B1000,"&lt;2026-11-01")</f>
        <v/>
      </c>
      <c r="F26" s="36">
        <f>IF(B26=0,"N/A",AVERAGEIFS('📋 Trade Log'!O5:O1000,'📋 Trade Log'!B5:B1000,"&gt;=2026-10-01",'📋 Trade Log'!B5:B1000,"&lt;2026-11-01"))</f>
        <v/>
      </c>
    </row>
    <row r="27">
      <c r="A27" s="4" t="inlineStr">
        <is>
          <t>Nov</t>
        </is>
      </c>
      <c r="B27" s="30">
        <f>COUNTIFS('📋 Trade Log'!B5:B1000,"&gt;=2026-11-01",'📋 Trade Log'!B5:B1000,"&lt;2026-12-01")</f>
        <v/>
      </c>
      <c r="C27" s="31">
        <f>IF(B27=0,"N/A",COUNTIFS('📋 Trade Log'!Q5:Q1000,"&gt;0",'📋 Trade Log'!B5:B1000,"&gt;=2026-11-01",'📋 Trade Log'!B5:B1000,"&lt;2026-12-01")/B27)</f>
        <v/>
      </c>
      <c r="D27" s="35">
        <f>SUMIFS('📋 Trade Log'!M5:M1000,'📋 Trade Log'!B5:B1000,"&gt;=2026-11-01",'📋 Trade Log'!B5:B1000,"&lt;2026-12-01")</f>
        <v/>
      </c>
      <c r="E27" s="35">
        <f>SUMIFS('📋 Trade Log'!Q5:Q1000,'📋 Trade Log'!B5:B1000,"&gt;=2026-11-01",'📋 Trade Log'!B5:B1000,"&lt;2026-12-01")</f>
        <v/>
      </c>
      <c r="F27" s="36">
        <f>IF(B27=0,"N/A",AVERAGEIFS('📋 Trade Log'!O5:O1000,'📋 Trade Log'!B5:B1000,"&gt;=2026-11-01",'📋 Trade Log'!B5:B1000,"&lt;2026-12-01"))</f>
        <v/>
      </c>
    </row>
    <row r="28">
      <c r="A28" s="48" t="inlineStr">
        <is>
          <t>Dec</t>
        </is>
      </c>
      <c r="B28">
        <f>COUNTIFS('📋 Trade Log'!B5:B1000,"&gt;=2026-12-01",'📋 Trade Log'!B5:B1000,"&lt;2027-01-01")</f>
        <v/>
      </c>
      <c r="C28">
        <f>IF(B28=0,"N/A",COUNTIFS('📋 Trade Log'!Q5:Q1000,"&gt;0",'📋 Trade Log'!B5:B1000,"&gt;=2026-12-01",'📋 Trade Log'!B5:B1000,"&lt;2027-01-01")/B28)</f>
        <v/>
      </c>
      <c r="D28">
        <f>SUMIFS('📋 Trade Log'!M5:M1000,'📋 Trade Log'!B5:B1000,"&gt;=2026-12-01",'📋 Trade Log'!B5:B1000,"&lt;2027-01-01")</f>
        <v/>
      </c>
      <c r="E28">
        <f>SUMIFS('📋 Trade Log'!Q5:Q1000,'📋 Trade Log'!B5:B1000,"&gt;=2026-12-01",'📋 Trade Log'!B5:B1000,"&lt;2027-01-01")</f>
        <v/>
      </c>
      <c r="F28">
        <f>IF(B28=0,"N/A",AVERAGEIFS('📋 Trade Log'!O5:O1000,'📋 Trade Log'!B5:B1000,"&gt;=2026-12-01",'📋 Trade Log'!B5:B1000,"&lt;2027-01-01"))</f>
        <v/>
      </c>
    </row>
    <row r="29">
      <c r="A29" s="48" t="n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5E6C8"/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49" t="inlineStr">
        <is>
          <t>PRO TRADING JOURNAL</t>
        </is>
      </c>
      <c r="B1" s="38" t="n"/>
      <c r="C1" s="38" t="n"/>
      <c r="D1" s="38" t="n"/>
    </row>
    <row r="2">
      <c r="A2" s="2" t="inlineStr">
        <is>
          <t>Setup Guide &amp; Instructions</t>
        </is>
      </c>
    </row>
    <row r="4" ht="25" customHeight="1">
      <c r="A4" s="25" t="inlineStr">
        <is>
          <t>🚀 QUICK START</t>
        </is>
      </c>
    </row>
    <row r="5">
      <c r="A5" s="37" t="inlineStr">
        <is>
          <t>1. Open this file in Google Sheets (upload to Google Drive, double-click)</t>
        </is>
      </c>
    </row>
    <row r="6">
      <c r="A6" s="37" t="inlineStr">
        <is>
          <t>2. Go to the '📋 Trade Log' tab and start entering your trades</t>
        </is>
      </c>
    </row>
    <row r="7">
      <c r="A7" s="37" t="inlineStr">
        <is>
          <t>3. The Dashboard and Analytics update automatically</t>
        </is>
      </c>
    </row>
    <row r="8" ht="25" customHeight="1">
      <c r="A8" s="25" t="inlineStr">
        <is>
          <t>📋 TRADE LOG — How to Fill In</t>
        </is>
      </c>
    </row>
    <row r="9">
      <c r="A9" s="37" t="inlineStr">
        <is>
          <t>• Trade #: Auto-numbered (just enter 1, 2, 3...)</t>
        </is>
      </c>
    </row>
    <row r="10">
      <c r="A10" s="37" t="inlineStr">
        <is>
          <t>• Date: Entry date (YYYY-MM-DD)</t>
        </is>
      </c>
    </row>
    <row r="11">
      <c r="A11" s="37" t="inlineStr">
        <is>
          <t>• Market: US / HK / A / FX / Crypto</t>
        </is>
      </c>
    </row>
    <row r="12">
      <c r="A12" s="37" t="inlineStr">
        <is>
          <t>• Symbol: Ticker (e.g., NVDA, 0700.HK, XAUUSD)</t>
        </is>
      </c>
    </row>
    <row r="13">
      <c r="A13" s="37" t="inlineStr">
        <is>
          <t>• Direction: Long or Short</t>
        </is>
      </c>
    </row>
    <row r="14">
      <c r="A14" s="37" t="inlineStr">
        <is>
          <t>• Setup/Strategy: Your trading setup (e.g., 'Breakout Pullback', 'Support Bounce')</t>
        </is>
      </c>
    </row>
    <row r="15">
      <c r="A15" s="37" t="inlineStr">
        <is>
          <t>• Entry Price / Stop Loss / Take Profit: Your levels</t>
        </is>
      </c>
    </row>
    <row r="16">
      <c r="A16" s="37" t="inlineStr">
        <is>
          <t>• Position Size: Number of shares/lots/contracts</t>
        </is>
      </c>
    </row>
    <row r="17">
      <c r="A17" s="37" t="inlineStr">
        <is>
          <t>• Exit Price / Exit Date: Fill when you close the trade</t>
        </is>
      </c>
    </row>
    <row r="18">
      <c r="A18" s="37" t="inlineStr">
        <is>
          <t>• P&amp;L / R-Multiple / Net P&amp;L: Auto-calculated!</t>
        </is>
      </c>
    </row>
    <row r="19">
      <c r="A19" s="37" t="inlineStr">
        <is>
          <t>• Mistakes: Note any trading errors for review</t>
        </is>
      </c>
    </row>
    <row r="20">
      <c r="A20" s="37" t="inlineStr">
        <is>
          <t>• Notes: Free-form notes about the trade</t>
        </is>
      </c>
    </row>
    <row r="22" ht="25" customHeight="1">
      <c r="A22" s="25" t="inlineStr">
        <is>
          <t>📊 DASHBOARD — What You'll See</t>
        </is>
      </c>
    </row>
    <row r="23">
      <c r="A23" s="37" t="inlineStr">
        <is>
          <t>• Total trades, win rate, profit factor — all auto-calculated</t>
        </is>
      </c>
    </row>
    <row r="24">
      <c r="A24" s="37" t="inlineStr">
        <is>
          <t>• Performance by Market: Which market makes you the most money?</t>
        </is>
      </c>
    </row>
    <row r="25">
      <c r="A25" s="37" t="inlineStr">
        <is>
          <t>• Performance by Strategy: Which setups have the highest win rate?</t>
        </is>
      </c>
    </row>
    <row r="26">
      <c r="A26" s="37" t="inlineStr">
        <is>
          <t>• Key metrics: AVG WIN, AVG LOSS, BEST/WORST trade, MAX DRAWDOWN</t>
        </is>
      </c>
    </row>
    <row r="29" ht="25" customHeight="1">
      <c r="A29" s="25" t="inlineStr">
        <is>
          <t>📈 ANALYTICS — Deep Dive</t>
        </is>
      </c>
    </row>
    <row r="30">
      <c r="A30" s="37" t="inlineStr">
        <is>
          <t>• Cumulative P&amp;L: Your equity curve over time</t>
        </is>
      </c>
    </row>
    <row r="31">
      <c r="A31" s="37" t="inlineStr">
        <is>
          <t>• Win/Loss Distribution: How are your P&amp;L amounts distributed?</t>
        </is>
      </c>
    </row>
    <row r="32">
      <c r="A32" s="37" t="inlineStr">
        <is>
          <t>• Monthly Performance: Track month-by-month consistency</t>
        </is>
      </c>
    </row>
    <row r="36" ht="25" customHeight="1">
      <c r="A36" s="25" t="inlineStr">
        <is>
          <t>💡 PRO TIPS</t>
        </is>
      </c>
    </row>
    <row r="37">
      <c r="A37" s="37" t="inlineStr">
        <is>
          <t>• Be honest in the 'Mistakes' column — this is for YOUR improvement</t>
        </is>
      </c>
    </row>
    <row r="38">
      <c r="A38" s="37" t="inlineStr">
        <is>
          <t>• Use consistent setup names so the strategy analysis is meaningful</t>
        </is>
      </c>
    </row>
    <row r="39">
      <c r="A39" s="37" t="inlineStr">
        <is>
          <t>• Review the Dashboard weekly to identify your best setups</t>
        </is>
      </c>
    </row>
    <row r="40">
      <c r="A40" s="37" t="inlineStr">
        <is>
          <t>• Track every trade — even the small ones — for accurate stats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2026-05-11T00:39:48Z</dcterms:created>
  <dcterms:modified xmlns:dcterms="http://purl.org/dc/terms/" xmlns:xsi="http://www.w3.org/2001/XMLSchema-instance" xsi:type="dcterms:W3CDTF">2026-05-11T07:23:57Z</dcterms:modified>
</cp:coreProperties>
</file>