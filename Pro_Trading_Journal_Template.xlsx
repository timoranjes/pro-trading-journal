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rade Log" sheetId="1" state="visible" r:id="rId1"/>
    <sheet xmlns:r="http://schemas.openxmlformats.org/officeDocument/2006/relationships" name="📊 Dashboard" sheetId="2" state="visible" r:id="rId2"/>
    <sheet xmlns:r="http://schemas.openxmlformats.org/officeDocument/2006/relationships" name="📈 Analytics" sheetId="3" state="visible" r:id="rId3"/>
    <sheet xmlns:r="http://schemas.openxmlformats.org/officeDocument/2006/relationships" name="📖 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b val="1"/>
      <color rgb="002C3E6B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7AE60"/>
      <sz val="11"/>
    </font>
    <font>
      <name val="Calibri"/>
      <b val="1"/>
      <color rgb="00E74C3C"/>
      <sz val="11"/>
    </font>
    <font>
      <name val="Calibri"/>
      <b val="1"/>
      <sz val="11"/>
    </font>
    <font>
      <name val="Calibri"/>
      <b val="1"/>
      <color rgb="001B2A4A"/>
      <sz val="13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0" borderId="2" pivotButton="0" quotePrefix="0" xfId="0"/>
    <xf numFmtId="164" fontId="4" fillId="0" borderId="2" pivotButton="0" quotePrefix="0" xfId="0"/>
    <xf numFmtId="4" fontId="4" fillId="0" borderId="2" pivotButton="0" quotePrefix="0" xfId="0"/>
    <xf numFmtId="4" fontId="5" fillId="0" borderId="2" pivotButton="0" quotePrefix="0" xfId="0"/>
    <xf numFmtId="10" fontId="5" fillId="0" borderId="2" pivotButton="0" quotePrefix="0" xfId="0"/>
    <xf numFmtId="2" fontId="4" fillId="0" borderId="2" pivotButton="0" quotePrefix="0" xfId="0"/>
    <xf numFmtId="0" fontId="4" fillId="3" borderId="2" pivotButton="0" quotePrefix="0" xfId="0"/>
    <xf numFmtId="164" fontId="4" fillId="3" borderId="2" pivotButton="0" quotePrefix="0" xfId="0"/>
    <xf numFmtId="4" fontId="4" fillId="3" borderId="2" pivotButton="0" quotePrefix="0" xfId="0"/>
    <xf numFmtId="4" fontId="6" fillId="3" borderId="2" pivotButton="0" quotePrefix="0" xfId="0"/>
    <xf numFmtId="10" fontId="6" fillId="3" borderId="2" pivotButton="0" quotePrefix="0" xfId="0"/>
    <xf numFmtId="2" fontId="4" fillId="3" borderId="2" pivotButton="0" quotePrefix="0" xfId="0"/>
    <xf numFmtId="0" fontId="0" fillId="3" borderId="0" pivotButton="0" quotePrefix="0" xfId="0"/>
    <xf numFmtId="4" fontId="5" fillId="3" borderId="2" pivotButton="0" quotePrefix="0" xfId="0"/>
    <xf numFmtId="10" fontId="5" fillId="3" borderId="2" pivotButton="0" quotePrefix="0" xfId="0"/>
    <xf numFmtId="0" fontId="7" fillId="3" borderId="2" applyAlignment="1" pivotButton="0" quotePrefix="0" xfId="0">
      <alignment horizontal="right"/>
    </xf>
    <xf numFmtId="0" fontId="8" fillId="0" borderId="2" applyAlignment="1" pivotButton="0" quotePrefix="0" xfId="0">
      <alignment horizontal="center"/>
    </xf>
    <xf numFmtId="10" fontId="8" fillId="0" borderId="2" applyAlignment="1" pivotButton="0" quotePrefix="0" xfId="0">
      <alignment horizontal="center"/>
    </xf>
    <xf numFmtId="4" fontId="8" fillId="0" borderId="2" applyAlignment="1" pivotButton="0" quotePrefix="0" xfId="0">
      <alignment horizontal="center"/>
    </xf>
    <xf numFmtId="2" fontId="8" fillId="0" borderId="2" applyAlignment="1" pivotButton="0" quotePrefix="0" xfId="0">
      <alignment horizontal="center"/>
    </xf>
    <xf numFmtId="165" fontId="8" fillId="0" borderId="2" applyAlignment="1" pivotButton="0" quotePrefix="0" xfId="0">
      <alignment horizontal="center"/>
    </xf>
    <xf numFmtId="0" fontId="2" fillId="0" borderId="1" pivotButton="0" quotePrefix="0" xfId="0"/>
    <xf numFmtId="0" fontId="4" fillId="0" borderId="2" applyAlignment="1" pivotButton="0" quotePrefix="0" xfId="0">
      <alignment vertical="center"/>
    </xf>
    <xf numFmtId="10" fontId="4" fillId="0" borderId="2" applyAlignment="1" pivotButton="0" quotePrefix="0" xfId="0">
      <alignment vertical="center"/>
    </xf>
    <xf numFmtId="4" fontId="4" fillId="0" borderId="2" applyAlignment="1" pivotButton="0" quotePrefix="0" xfId="0">
      <alignment vertical="center"/>
    </xf>
    <xf numFmtId="2" fontId="4" fillId="0" borderId="2" applyAlignment="1" pivotButton="0" quotePrefix="0" xfId="0">
      <alignment vertical="center"/>
    </xf>
    <xf numFmtId="0" fontId="0" fillId="0" borderId="2" pivotButton="0" quotePrefix="0" xfId="0"/>
    <xf numFmtId="10" fontId="0" fillId="0" borderId="2" pivotButton="0" quotePrefix="0" xfId="0"/>
    <xf numFmtId="164" fontId="3" fillId="2" borderId="2" applyAlignment="1" pivotButton="0" quotePrefix="0" xfId="0">
      <alignment horizontal="center" vertical="center" wrapText="1"/>
    </xf>
    <xf numFmtId="4" fontId="3" fillId="2" borderId="2" applyAlignment="1" pivotButton="0" quotePrefix="0" xfId="0">
      <alignment horizontal="center" vertical="center" wrapText="1"/>
    </xf>
    <xf numFmtId="10" fontId="4" fillId="0" borderId="2" pivotButton="0" quotePrefix="0" xfId="0"/>
    <xf numFmtId="4" fontId="0" fillId="0" borderId="2" pivotButton="0" quotePrefix="0" xfId="0"/>
    <xf numFmtId="2" fontId="0" fillId="0" borderId="2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T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14" customWidth="1" min="4" max="4"/>
    <col width="10" customWidth="1" min="5" max="5"/>
    <col width="18" customWidth="1" min="6" max="6"/>
    <col width="12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  <col width="12" customWidth="1" min="16" max="16"/>
    <col width="13" customWidth="1" min="17" max="17"/>
    <col width="20" customWidth="1" min="18" max="18"/>
    <col width="30" customWidth="1" min="19" max="19"/>
    <col width="15" customWidth="1" min="20" max="20"/>
  </cols>
  <sheetData>
    <row r="1">
      <c r="A1" s="1" t="inlineStr">
        <is>
          <t>PRO TRADING JOURNAL</t>
        </is>
      </c>
    </row>
    <row r="2">
      <c r="A2" s="2" t="inlineStr">
        <is>
          <t>Trade Log — Record every trade</t>
        </is>
      </c>
    </row>
    <row r="4">
      <c r="A4" s="3" t="inlineStr">
        <is>
          <t>Trade #</t>
        </is>
      </c>
      <c r="B4" s="3" t="inlineStr">
        <is>
          <t>Date</t>
        </is>
      </c>
      <c r="C4" s="3" t="inlineStr">
        <is>
          <t>Market</t>
        </is>
      </c>
      <c r="D4" s="3" t="inlineStr">
        <is>
          <t>Symbol</t>
        </is>
      </c>
      <c r="E4" s="3" t="inlineStr">
        <is>
          <t>Direction</t>
        </is>
      </c>
      <c r="F4" s="3" t="inlineStr">
        <is>
          <t>Setup/Strategy</t>
        </is>
      </c>
      <c r="G4" s="3" t="inlineStr">
        <is>
          <t>Entry Price</t>
        </is>
      </c>
      <c r="H4" s="3" t="inlineStr">
        <is>
          <t>Stop Loss</t>
        </is>
      </c>
      <c r="I4" s="3" t="inlineStr">
        <is>
          <t>Take Profit</t>
        </is>
      </c>
      <c r="J4" s="3" t="inlineStr">
        <is>
          <t>Position Size</t>
        </is>
      </c>
      <c r="K4" s="3" t="inlineStr">
        <is>
          <t>Exit Price</t>
        </is>
      </c>
      <c r="L4" s="3" t="inlineStr">
        <is>
          <t>Exit Date</t>
        </is>
      </c>
      <c r="M4" s="3" t="inlineStr">
        <is>
          <t>P&amp;L ($)</t>
        </is>
      </c>
      <c r="N4" s="3" t="inlineStr">
        <is>
          <t>P&amp;L (%)</t>
        </is>
      </c>
      <c r="O4" s="3" t="inlineStr">
        <is>
          <t>R-Multiple</t>
        </is>
      </c>
      <c r="P4" s="3" t="inlineStr">
        <is>
          <t>Commission</t>
        </is>
      </c>
      <c r="Q4" s="3" t="inlineStr">
        <is>
          <t>Net P&amp;L ($)</t>
        </is>
      </c>
      <c r="R4" s="3" t="inlineStr">
        <is>
          <t>Mistakes</t>
        </is>
      </c>
      <c r="S4" s="3" t="inlineStr">
        <is>
          <t>Notes</t>
        </is>
      </c>
      <c r="T4" s="3" t="inlineStr">
        <is>
          <t>Screenshot Link</t>
        </is>
      </c>
    </row>
    <row r="5">
      <c r="A5" s="4" t="n">
        <v>1</v>
      </c>
      <c r="B5" s="5" t="inlineStr">
        <is>
          <t>2026-05-05</t>
        </is>
      </c>
      <c r="C5" s="4" t="inlineStr">
        <is>
          <t>US</t>
        </is>
      </c>
      <c r="D5" s="4" t="inlineStr">
        <is>
          <t>NVDA</t>
        </is>
      </c>
      <c r="E5" s="4" t="inlineStr">
        <is>
          <t>Long</t>
        </is>
      </c>
      <c r="F5" s="4" t="inlineStr">
        <is>
          <t>Breakout Pullback</t>
        </is>
      </c>
      <c r="G5" s="6" t="n">
        <v>128.5</v>
      </c>
      <c r="H5" s="6" t="n">
        <v>125</v>
      </c>
      <c r="I5" s="6" t="n">
        <v>138</v>
      </c>
      <c r="J5" s="6" t="n">
        <v>100</v>
      </c>
      <c r="K5" s="6" t="n">
        <v>136.2</v>
      </c>
      <c r="L5" s="4" t="inlineStr">
        <is>
          <t>2026-05-06</t>
        </is>
      </c>
      <c r="M5" s="7" t="n">
        <v>770</v>
      </c>
      <c r="N5" s="8" t="n">
        <v>0.06</v>
      </c>
      <c r="O5" s="9" t="n">
        <v>2.2</v>
      </c>
      <c r="P5" s="6" t="n">
        <v>1.5</v>
      </c>
      <c r="Q5" s="7" t="n">
        <v>768.5</v>
      </c>
      <c r="R5" s="4" t="inlineStr">
        <is>
          <t>Entered 10min early</t>
        </is>
      </c>
      <c r="S5" s="4" t="inlineStr">
        <is>
          <t>Clean breakout, held well</t>
        </is>
      </c>
    </row>
    <row r="6">
      <c r="A6" s="10" t="n">
        <v>2</v>
      </c>
      <c r="B6" s="11" t="inlineStr">
        <is>
          <t>2026-05-06</t>
        </is>
      </c>
      <c r="C6" s="10" t="inlineStr">
        <is>
          <t>HK</t>
        </is>
      </c>
      <c r="D6" s="10" t="inlineStr">
        <is>
          <t>0700.HK</t>
        </is>
      </c>
      <c r="E6" s="10" t="inlineStr">
        <is>
          <t>Long</t>
        </is>
      </c>
      <c r="F6" s="10" t="inlineStr">
        <is>
          <t>Support Bounce</t>
        </is>
      </c>
      <c r="G6" s="12" t="n">
        <v>512</v>
      </c>
      <c r="H6" s="12" t="n">
        <v>505</v>
      </c>
      <c r="I6" s="12" t="n">
        <v>530</v>
      </c>
      <c r="J6" s="12" t="n">
        <v>200</v>
      </c>
      <c r="K6" s="12" t="n">
        <v>508</v>
      </c>
      <c r="L6" s="10" t="inlineStr">
        <is>
          <t>2026-05-06</t>
        </is>
      </c>
      <c r="M6" s="13" t="n">
        <v>-800</v>
      </c>
      <c r="N6" s="14" t="n">
        <v>-0.0078</v>
      </c>
      <c r="O6" s="15" t="n">
        <v>-0.57</v>
      </c>
      <c r="P6" s="12" t="n">
        <v>3</v>
      </c>
      <c r="Q6" s="13" t="n">
        <v>-803</v>
      </c>
      <c r="R6" s="10" t="inlineStr">
        <is>
          <t>No confirmation</t>
        </is>
      </c>
      <c r="S6" s="10" t="inlineStr">
        <is>
          <t>Weak bounce, should have waited</t>
        </is>
      </c>
      <c r="T6" s="16" t="n"/>
    </row>
    <row r="7">
      <c r="A7" s="4" t="n">
        <v>3</v>
      </c>
      <c r="B7" s="5" t="inlineStr">
        <is>
          <t>2026-05-07</t>
        </is>
      </c>
      <c r="C7" s="4" t="inlineStr">
        <is>
          <t>US</t>
        </is>
      </c>
      <c r="D7" s="4" t="inlineStr">
        <is>
          <t>TSLA</t>
        </is>
      </c>
      <c r="E7" s="4" t="inlineStr">
        <is>
          <t>Short</t>
        </is>
      </c>
      <c r="F7" s="4" t="inlineStr">
        <is>
          <t>Bear Flag</t>
        </is>
      </c>
      <c r="G7" s="6" t="n">
        <v>312</v>
      </c>
      <c r="H7" s="6" t="n">
        <v>318</v>
      </c>
      <c r="I7" s="6" t="n">
        <v>295</v>
      </c>
      <c r="J7" s="6" t="n">
        <v>50</v>
      </c>
      <c r="K7" s="6" t="n">
        <v>298.5</v>
      </c>
      <c r="L7" s="4" t="inlineStr">
        <is>
          <t>2026-05-08</t>
        </is>
      </c>
      <c r="M7" s="7" t="n">
        <v>675</v>
      </c>
      <c r="N7" s="8" t="n">
        <v>0.0433</v>
      </c>
      <c r="O7" s="9" t="n">
        <v>2.25</v>
      </c>
      <c r="P7" s="6" t="n">
        <v>1</v>
      </c>
      <c r="Q7" s="7" t="n">
        <v>674</v>
      </c>
      <c r="R7" s="4" t="inlineStr"/>
      <c r="S7" s="4" t="inlineStr">
        <is>
          <t>Textbook bear flag</t>
        </is>
      </c>
    </row>
    <row r="8">
      <c r="A8" s="10" t="n">
        <v>4</v>
      </c>
      <c r="B8" s="11" t="inlineStr">
        <is>
          <t>2026-05-08</t>
        </is>
      </c>
      <c r="C8" s="10" t="inlineStr">
        <is>
          <t>FX</t>
        </is>
      </c>
      <c r="D8" s="10" t="inlineStr">
        <is>
          <t>XAUUSD</t>
        </is>
      </c>
      <c r="E8" s="10" t="inlineStr">
        <is>
          <t>Long</t>
        </is>
      </c>
      <c r="F8" s="10" t="inlineStr">
        <is>
          <t>Trend Following</t>
        </is>
      </c>
      <c r="G8" s="12" t="n">
        <v>3280</v>
      </c>
      <c r="H8" s="12" t="n">
        <v>3260</v>
      </c>
      <c r="I8" s="12" t="n">
        <v>3320</v>
      </c>
      <c r="J8" s="12" t="n">
        <v>1</v>
      </c>
      <c r="K8" s="12" t="n">
        <v>3310</v>
      </c>
      <c r="L8" s="10" t="inlineStr">
        <is>
          <t>2026-05-09</t>
        </is>
      </c>
      <c r="M8" s="17" t="n">
        <v>30</v>
      </c>
      <c r="N8" s="18" t="n">
        <v>0.0091</v>
      </c>
      <c r="O8" s="15" t="n">
        <v>1.5</v>
      </c>
      <c r="P8" s="12" t="n">
        <v>2</v>
      </c>
      <c r="Q8" s="17" t="n">
        <v>28</v>
      </c>
      <c r="R8" s="10" t="inlineStr"/>
      <c r="S8" s="10" t="inlineStr">
        <is>
          <t>Gold trending up</t>
        </is>
      </c>
      <c r="T8" s="16" t="n"/>
    </row>
    <row r="9">
      <c r="A9" s="4" t="n">
        <v>5</v>
      </c>
      <c r="B9" s="5" t="inlineStr">
        <is>
          <t>2026-05-09</t>
        </is>
      </c>
      <c r="C9" s="4" t="inlineStr">
        <is>
          <t>A</t>
        </is>
      </c>
      <c r="D9" s="4" t="inlineStr">
        <is>
          <t>600519.SS</t>
        </is>
      </c>
      <c r="E9" s="4" t="inlineStr">
        <is>
          <t>Long</t>
        </is>
      </c>
      <c r="F9" s="4" t="inlineStr">
        <is>
          <t>Earnings Play</t>
        </is>
      </c>
      <c r="G9" s="6" t="n">
        <v>1850</v>
      </c>
      <c r="H9" s="6" t="n">
        <v>1820</v>
      </c>
      <c r="I9" s="6" t="n">
        <v>1920</v>
      </c>
      <c r="J9" s="6" t="n">
        <v>100</v>
      </c>
      <c r="K9" s="6" t="n"/>
      <c r="L9" s="4" t="n"/>
      <c r="M9" s="4" t="n"/>
      <c r="N9" s="4" t="n"/>
      <c r="O9" s="4" t="n"/>
      <c r="P9" s="6" t="n">
        <v>5</v>
      </c>
      <c r="Q9" s="4" t="n"/>
      <c r="R9" s="4" t="inlineStr"/>
      <c r="S9" s="4" t="inlineStr">
        <is>
          <t>Holding - earnings tomorrow</t>
        </is>
      </c>
    </row>
    <row r="10">
      <c r="M10">
        <f>IF(OR(K10="",(E10="Long")*(K10-G10)*J10,(E10="Short")*(G10-K10)*J10))</f>
        <v/>
      </c>
      <c r="N10">
        <f>IF(G10=0,"",M10/(G10*J10))</f>
        <v/>
      </c>
      <c r="O10">
        <f>IF(OR(G10=H10,J10=0),"",M10/(ABS(G10-H10)*J10))</f>
        <v/>
      </c>
      <c r="Q10">
        <f>IF(M10="","",M10-P10)</f>
        <v/>
      </c>
    </row>
    <row r="11">
      <c r="M11">
        <f>IF(OR(K11="",(E11="Long")*(K11-G11)*J11,(E11="Short")*(G11-K11)*J11))</f>
        <v/>
      </c>
      <c r="N11">
        <f>IF(G11=0,"",M11/(G11*J11))</f>
        <v/>
      </c>
      <c r="O11">
        <f>IF(OR(G11=H11,J11=0),"",M11/(ABS(G11-H11)*J11))</f>
        <v/>
      </c>
      <c r="Q11">
        <f>IF(M11="","",M11-P11)</f>
        <v/>
      </c>
    </row>
    <row r="12">
      <c r="M12">
        <f>IF(OR(K12="",(E12="Long")*(K12-G12)*J12,(E12="Short")*(G12-K12)*J12))</f>
        <v/>
      </c>
      <c r="N12">
        <f>IF(G12=0,"",M12/(G12*J12))</f>
        <v/>
      </c>
      <c r="O12">
        <f>IF(OR(G12=H12,J12=0),"",M12/(ABS(G12-H12)*J12))</f>
        <v/>
      </c>
      <c r="Q12">
        <f>IF(M12="","",M12-P12)</f>
        <v/>
      </c>
    </row>
    <row r="13">
      <c r="M13">
        <f>IF(OR(K13="",(E13="Long")*(K13-G13)*J13,(E13="Short")*(G13-K13)*J13))</f>
        <v/>
      </c>
      <c r="N13">
        <f>IF(G13=0,"",M13/(G13*J13))</f>
        <v/>
      </c>
      <c r="O13">
        <f>IF(OR(G13=H13,J13=0),"",M13/(ABS(G13-H13)*J13))</f>
        <v/>
      </c>
      <c r="Q13">
        <f>IF(M13="","",M13-P13)</f>
        <v/>
      </c>
    </row>
    <row r="14">
      <c r="M14">
        <f>IF(OR(K14="",(E14="Long")*(K14-G14)*J14,(E14="Short")*(G14-K14)*J14))</f>
        <v/>
      </c>
      <c r="N14">
        <f>IF(G14=0,"",M14/(G14*J14))</f>
        <v/>
      </c>
      <c r="O14">
        <f>IF(OR(G14=H14,J14=0),"",M14/(ABS(G14-H14)*J14))</f>
        <v/>
      </c>
      <c r="Q14">
        <f>IF(M14="","",M14-P14)</f>
        <v/>
      </c>
    </row>
    <row r="15">
      <c r="M15">
        <f>IF(OR(K15="",(E15="Long")*(K15-G15)*J15,(E15="Short")*(G15-K15)*J15))</f>
        <v/>
      </c>
      <c r="N15">
        <f>IF(G15=0,"",M15/(G15*J15))</f>
        <v/>
      </c>
      <c r="O15">
        <f>IF(OR(G15=H15,J15=0),"",M15/(ABS(G15-H15)*J15))</f>
        <v/>
      </c>
      <c r="Q15">
        <f>IF(M15="","",M15-P15)</f>
        <v/>
      </c>
    </row>
    <row r="16">
      <c r="M16">
        <f>IF(OR(K16="",(E16="Long")*(K16-G16)*J16,(E16="Short")*(G16-K16)*J16))</f>
        <v/>
      </c>
      <c r="N16">
        <f>IF(G16=0,"",M16/(G16*J16))</f>
        <v/>
      </c>
      <c r="O16">
        <f>IF(OR(G16=H16,J16=0),"",M16/(ABS(G16-H16)*J16))</f>
        <v/>
      </c>
      <c r="Q16">
        <f>IF(M16="","",M16-P16)</f>
        <v/>
      </c>
    </row>
    <row r="17">
      <c r="M17">
        <f>IF(OR(K17="",(E17="Long")*(K17-G17)*J17,(E17="Short")*(G17-K17)*J17))</f>
        <v/>
      </c>
      <c r="N17">
        <f>IF(G17=0,"",M17/(G17*J17))</f>
        <v/>
      </c>
      <c r="O17">
        <f>IF(OR(G17=H17,J17=0),"",M17/(ABS(G17-H17)*J17))</f>
        <v/>
      </c>
      <c r="Q17">
        <f>IF(M17="","",M17-P17)</f>
        <v/>
      </c>
    </row>
    <row r="18">
      <c r="M18">
        <f>IF(OR(K18="",(E18="Long")*(K18-G18)*J18,(E18="Short")*(G18-K18)*J18))</f>
        <v/>
      </c>
      <c r="N18">
        <f>IF(G18=0,"",M18/(G18*J18))</f>
        <v/>
      </c>
      <c r="O18">
        <f>IF(OR(G18=H18,J18=0),"",M18/(ABS(G18-H18)*J18))</f>
        <v/>
      </c>
      <c r="Q18">
        <f>IF(M18="","",M18-P18)</f>
        <v/>
      </c>
    </row>
    <row r="19">
      <c r="M19">
        <f>IF(OR(K19="",(E19="Long")*(K19-G19)*J19,(E19="Short")*(G19-K19)*J19))</f>
        <v/>
      </c>
      <c r="N19">
        <f>IF(G19=0,"",M19/(G19*J19))</f>
        <v/>
      </c>
      <c r="O19">
        <f>IF(OR(G19=H19,J19=0),"",M19/(ABS(G19-H19)*J19))</f>
        <v/>
      </c>
      <c r="Q19">
        <f>IF(M19="","",M19-P19)</f>
        <v/>
      </c>
    </row>
    <row r="20">
      <c r="M20">
        <f>IF(OR(K20="",(E20="Long")*(K20-G20)*J20,(E20="Short")*(G20-K20)*J20))</f>
        <v/>
      </c>
      <c r="N20">
        <f>IF(G20=0,"",M20/(G20*J20))</f>
        <v/>
      </c>
      <c r="O20">
        <f>IF(OR(G20=H20,J20=0),"",M20/(ABS(G20-H20)*J20))</f>
        <v/>
      </c>
      <c r="Q20">
        <f>IF(M20="","",M20-P20)</f>
        <v/>
      </c>
    </row>
    <row r="21">
      <c r="M21">
        <f>IF(OR(K21="",(E21="Long")*(K21-G21)*J21,(E21="Short")*(G21-K21)*J21))</f>
        <v/>
      </c>
      <c r="N21">
        <f>IF(G21=0,"",M21/(G21*J21))</f>
        <v/>
      </c>
      <c r="O21">
        <f>IF(OR(G21=H21,J21=0),"",M21/(ABS(G21-H21)*J21))</f>
        <v/>
      </c>
      <c r="Q21">
        <f>IF(M21="","",M21-P21)</f>
        <v/>
      </c>
    </row>
    <row r="22">
      <c r="M22">
        <f>IF(OR(K22="",(E22="Long")*(K22-G22)*J22,(E22="Short")*(G22-K22)*J22))</f>
        <v/>
      </c>
      <c r="N22">
        <f>IF(G22=0,"",M22/(G22*J22))</f>
        <v/>
      </c>
      <c r="O22">
        <f>IF(OR(G22=H22,J22=0),"",M22/(ABS(G22-H22)*J22))</f>
        <v/>
      </c>
      <c r="Q22">
        <f>IF(M22="","",M22-P22)</f>
        <v/>
      </c>
    </row>
    <row r="23">
      <c r="M23">
        <f>IF(OR(K23="",(E23="Long")*(K23-G23)*J23,(E23="Short")*(G23-K23)*J23))</f>
        <v/>
      </c>
      <c r="N23">
        <f>IF(G23=0,"",M23/(G23*J23))</f>
        <v/>
      </c>
      <c r="O23">
        <f>IF(OR(G23=H23,J23=0),"",M23/(ABS(G23-H23)*J23))</f>
        <v/>
      </c>
      <c r="Q23">
        <f>IF(M23="","",M23-P23)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A843"/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TRADING DASHBOARD</t>
        </is>
      </c>
    </row>
    <row r="2">
      <c r="A2" s="2" t="inlineStr">
        <is>
          <t>Real-time performance overview</t>
        </is>
      </c>
    </row>
    <row r="4">
      <c r="A4" s="19" t="inlineStr">
        <is>
          <t>TOTAL TRADES</t>
        </is>
      </c>
      <c r="B4" s="20">
        <f>COUNTA('📋 Trade Log'!A5:A1000)-COUNTBLANK('📋 Trade Log'!A5:A1000)</f>
        <v/>
      </c>
      <c r="C4" s="19" t="inlineStr">
        <is>
          <t>WIN RATE</t>
        </is>
      </c>
      <c r="D4" s="21">
        <f>IF(COUNTIF('📋 Trade Log'!M5:M1000,"&gt;0")+COUNTIF('📋 Trade Log'!M5:M1000,"&lt;0")=0,"N/A",COUNTIF('📋 Trade Log'!M5:M1000,"&gt;0")/(COUNTIF('📋 Trade Log'!M5:M1000,"&gt;0")+COUNTIF('📋 Trade Log'!M5:M1000,"&lt;0")))</f>
        <v/>
      </c>
    </row>
    <row r="5">
      <c r="A5" s="19" t="inlineStr">
        <is>
          <t>WINNING TRADES</t>
        </is>
      </c>
      <c r="B5" s="20">
        <f>COUNTIF('📋 Trade Log'!M5:M1000,"&gt;0")</f>
        <v/>
      </c>
      <c r="C5" s="19" t="inlineStr">
        <is>
          <t>LOSING TRADES</t>
        </is>
      </c>
      <c r="D5" s="20">
        <f>COUNTIF('📋 Trade Log'!M5:M1000,"&lt;0")</f>
        <v/>
      </c>
    </row>
    <row r="6">
      <c r="A6" s="19" t="inlineStr">
        <is>
          <t>GROSS P&amp;L</t>
        </is>
      </c>
      <c r="B6" s="22">
        <f>SUM('📋 Trade Log'!M5:M1000)</f>
        <v/>
      </c>
      <c r="C6" s="19" t="inlineStr">
        <is>
          <t>NET P&amp;L</t>
        </is>
      </c>
      <c r="D6" s="22">
        <f>SUM('📋 Trade Log'!Q5:Q1000)</f>
        <v/>
      </c>
    </row>
    <row r="7">
      <c r="A7" s="19" t="inlineStr">
        <is>
          <t>AVG WIN</t>
        </is>
      </c>
      <c r="B7" s="22">
        <f>IF(COUNTIF('📋 Trade Log'!M5:M1000,"&gt;0")=0,0,AVERAGEIF('📋 Trade Log'!M5:M1000,"&gt;0"))</f>
        <v/>
      </c>
      <c r="C7" s="19" t="inlineStr">
        <is>
          <t>AVG LOSS</t>
        </is>
      </c>
      <c r="D7" s="22">
        <f>IF(COUNTIF('📋 Trade Log'!M5:M1000,"&lt;0")=0,0,AVERAGEIF('📋 Trade Log'!M5:M1000,"&lt;0"))</f>
        <v/>
      </c>
    </row>
    <row r="8">
      <c r="A8" s="19" t="inlineStr">
        <is>
          <t>PROFIT FACTOR</t>
        </is>
      </c>
      <c r="B8" s="23">
        <f>IF(SUMIF('📋 Trade Log'!M5:M1000,"&lt;0")=0,"N/A",-SUMIF('📋 Trade Log'!M5:M1000,"&gt;0")/SUMIF('📋 Trade Log'!M5:M1000,"&lt;0"))</f>
        <v/>
      </c>
      <c r="C8" s="19" t="inlineStr">
        <is>
          <t>AVG R-MULTIPLE</t>
        </is>
      </c>
      <c r="D8" s="23">
        <f>IF(COUNTA('📋 Trade Log'!O5:O1000)=0,"N/A",AVERAGE('📋 Trade Log'!O5:O1000))</f>
        <v/>
      </c>
    </row>
    <row r="9">
      <c r="A9" s="19" t="inlineStr">
        <is>
          <t>BEST TRADE</t>
        </is>
      </c>
      <c r="B9" s="22">
        <f>IF(COUNTIF('📋 Trade Log'!M5:M1000,"&gt;0")=0,0,MAX('📋 Trade Log'!M5:M1000))</f>
        <v/>
      </c>
      <c r="C9" s="19" t="inlineStr">
        <is>
          <t>WORST TRADE</t>
        </is>
      </c>
      <c r="D9" s="22">
        <f>IF(COUNTIF('📋 Trade Log'!M5:M1000,"&lt;0")=0,0,MIN('📋 Trade Log'!M5:M1000))</f>
        <v/>
      </c>
    </row>
    <row r="10">
      <c r="A10" s="19" t="inlineStr">
        <is>
          <t>AVG HOLD (DAYS)</t>
        </is>
      </c>
      <c r="B10" s="24">
        <f>IF(COUNTA('📋 Trade Log'!L5:L1000)=0,"N/A",AVERAGE('📋 Trade Log'!L5:L1000-'📋 Trade Log'!B5:B1000))</f>
        <v/>
      </c>
      <c r="C10" s="19" t="inlineStr">
        <is>
          <t>COMMISSION TOTAL</t>
        </is>
      </c>
      <c r="D10" s="22">
        <f>SUM('📋 Trade Log'!P5:P1000)</f>
        <v/>
      </c>
    </row>
    <row r="11">
      <c r="A11" s="19" t="inlineStr">
        <is>
          <t>CURRENT STREAK</t>
        </is>
      </c>
      <c r="B11" s="20" t="inlineStr"/>
      <c r="C11" s="19" t="inlineStr">
        <is>
          <t>MAX DRAWDOWN</t>
        </is>
      </c>
      <c r="D11" s="22">
        <f>MIN('📋 Trade Log'!M5:M1000)</f>
        <v/>
      </c>
    </row>
    <row r="14">
      <c r="A14" s="25" t="inlineStr">
        <is>
          <t>PERFORMANCE BY MARKET</t>
        </is>
      </c>
    </row>
    <row r="15">
      <c r="A15" s="3" t="inlineStr">
        <is>
          <t>Market</t>
        </is>
      </c>
      <c r="B15" s="3" t="inlineStr">
        <is>
          <t>Trades</t>
        </is>
      </c>
      <c r="C15" s="3" t="inlineStr">
        <is>
          <t>Win Rate</t>
        </is>
      </c>
      <c r="D15" s="3" t="inlineStr">
        <is>
          <t>Net P&amp;L</t>
        </is>
      </c>
      <c r="E15" s="3" t="inlineStr">
        <is>
          <t>Avg R</t>
        </is>
      </c>
    </row>
    <row r="16">
      <c r="A16" s="26" t="inlineStr">
        <is>
          <t>US</t>
        </is>
      </c>
      <c r="B16" s="26">
        <f>COUNTIF('📋 Trade Log'!C5:C1000,"US")</f>
        <v/>
      </c>
      <c r="C16" s="27">
        <f>IF(B16=0,"N/A",COUNTIFS('📋 Trade Log'!C5:C1000,"US",'📋 Trade Log'!M5:M1000,"&gt;0")/B16)</f>
        <v/>
      </c>
      <c r="D16" s="28">
        <f>SUMIF('📋 Trade Log'!C5:C1000,"US",'📋 Trade Log'!Q5:Q1000)</f>
        <v/>
      </c>
      <c r="E16" s="29">
        <f>IF(B16=0,"N/A",AVERAGEIF('📋 Trade Log'!C5:C1000,"US",'📋 Trade Log'!O5:O1000))</f>
        <v/>
      </c>
    </row>
    <row r="17">
      <c r="A17" s="26" t="inlineStr">
        <is>
          <t>HK</t>
        </is>
      </c>
      <c r="B17" s="26">
        <f>COUNTIF('📋 Trade Log'!C5:C1000,"HK")</f>
        <v/>
      </c>
      <c r="C17" s="27">
        <f>IF(B17=0,"N/A",COUNTIFS('📋 Trade Log'!C5:C1000,"HK",'📋 Trade Log'!M5:M1000,"&gt;0")/B17)</f>
        <v/>
      </c>
      <c r="D17" s="28">
        <f>SUMIF('📋 Trade Log'!C5:C1000,"HK",'📋 Trade Log'!Q5:Q1000)</f>
        <v/>
      </c>
      <c r="E17" s="29">
        <f>IF(B17=0,"N/A",AVERAGEIF('📋 Trade Log'!C5:C1000,"HK",'📋 Trade Log'!O5:O1000))</f>
        <v/>
      </c>
    </row>
    <row r="18">
      <c r="A18" s="26" t="inlineStr">
        <is>
          <t>A</t>
        </is>
      </c>
      <c r="B18" s="26">
        <f>COUNTIF('📋 Trade Log'!C5:C1000,"A")</f>
        <v/>
      </c>
      <c r="C18" s="27">
        <f>IF(B18=0,"N/A",COUNTIFS('📋 Trade Log'!C5:C1000,"A",'📋 Trade Log'!M5:M1000,"&gt;0")/B18)</f>
        <v/>
      </c>
      <c r="D18" s="28">
        <f>SUMIF('📋 Trade Log'!C5:C1000,"A",'📋 Trade Log'!Q5:Q1000)</f>
        <v/>
      </c>
      <c r="E18" s="29">
        <f>IF(B18=0,"N/A",AVERAGEIF('📋 Trade Log'!C5:C1000,"A",'📋 Trade Log'!O5:O1000))</f>
        <v/>
      </c>
    </row>
    <row r="19">
      <c r="A19" s="26" t="inlineStr">
        <is>
          <t>FX</t>
        </is>
      </c>
      <c r="B19" s="26">
        <f>COUNTIF('📋 Trade Log'!C5:C1000,"FX")</f>
        <v/>
      </c>
      <c r="C19" s="27">
        <f>IF(B19=0,"N/A",COUNTIFS('📋 Trade Log'!C5:C1000,"FX",'📋 Trade Log'!M5:M1000,"&gt;0")/B19)</f>
        <v/>
      </c>
      <c r="D19" s="28">
        <f>SUMIF('📋 Trade Log'!C5:C1000,"FX",'📋 Trade Log'!Q5:Q1000)</f>
        <v/>
      </c>
      <c r="E19" s="29">
        <f>IF(B19=0,"N/A",AVERAGEIF('📋 Trade Log'!C5:C1000,"FX",'📋 Trade Log'!O5:O1000))</f>
        <v/>
      </c>
    </row>
    <row r="20">
      <c r="A20" s="26" t="inlineStr">
        <is>
          <t>Crypto</t>
        </is>
      </c>
      <c r="B20" s="26">
        <f>COUNTIF('📋 Trade Log'!C5:C1000,"Crypto")</f>
        <v/>
      </c>
      <c r="C20" s="27">
        <f>IF(B20=0,"N/A",COUNTIFS('📋 Trade Log'!C5:C1000,"Crypto",'📋 Trade Log'!M5:M1000,"&gt;0")/B20)</f>
        <v/>
      </c>
      <c r="D20" s="28">
        <f>SUMIF('📋 Trade Log'!C5:C1000,"Crypto",'📋 Trade Log'!Q5:Q1000)</f>
        <v/>
      </c>
      <c r="E20" s="29">
        <f>IF(B20=0,"N/A",AVERAGEIF('📋 Trade Log'!C5:C1000,"Crypto",'📋 Trade Log'!O5:O1000))</f>
        <v/>
      </c>
    </row>
    <row r="23">
      <c r="A23" s="25" t="inlineStr">
        <is>
          <t>PERFORMANCE BY STRATEGY</t>
        </is>
      </c>
    </row>
    <row r="24">
      <c r="A24" s="3" t="inlineStr">
        <is>
          <t>Strategy</t>
        </is>
      </c>
      <c r="B24" s="3" t="inlineStr">
        <is>
          <t>Trades</t>
        </is>
      </c>
      <c r="C24" s="3" t="inlineStr">
        <is>
          <t>Win Rate</t>
        </is>
      </c>
      <c r="D24" s="3" t="inlineStr">
        <is>
          <t>Net P&amp;L</t>
        </is>
      </c>
      <c r="E24" s="3" t="inlineStr">
        <is>
          <t>Avg R</t>
        </is>
      </c>
    </row>
    <row r="25">
      <c r="A25" s="26">
        <f>IFERROR(INDEX('📋 Trade Log'!F5:F1000,SMALL(IF('📋 Trade Log'!F5:F1000&lt;&gt;"",ROW(F5:F1000)-ROW(F5)+1),1)),"")</f>
        <v/>
      </c>
      <c r="B25" s="26">
        <f>IF(A25="",0,COUNTIF('📋 Trade Log'!F5:F1000,A25))</f>
        <v/>
      </c>
      <c r="C25" s="27">
        <f>IF(B25=0,"N/A",COUNTIFS('📋 Trade Log'!F5:F1000,A25,'📋 Trade Log'!M5:M1000,"&gt;0")/B25)</f>
        <v/>
      </c>
      <c r="D25" s="28">
        <f>IF(A25="","",SUMIF('📋 Trade Log'!F5:F1000,A25,'📋 Trade Log'!Q5:Q1000))</f>
        <v/>
      </c>
      <c r="E25" s="29">
        <f>IF(A25="","",AVERAGEIF('📋 Trade Log'!F5:F1000,A25,'📋 Trade Log'!O5:O1000))</f>
        <v/>
      </c>
    </row>
    <row r="26">
      <c r="A26" s="26">
        <f>IFERROR(INDEX('📋 Trade Log'!F5:F1000,SMALL(IF('📋 Trade Log'!F5:F1000&lt;&gt;"",ROW(F5:F1000)-ROW(F5)+1),2)),"")</f>
        <v/>
      </c>
      <c r="B26" s="26">
        <f>IF(A26="",0,COUNTIF('📋 Trade Log'!F5:F1000,A26))</f>
        <v/>
      </c>
      <c r="C26" s="27">
        <f>IF(B26=0,"N/A",COUNTIFS('📋 Trade Log'!F5:F1000,A26,'📋 Trade Log'!M5:M1000,"&gt;0")/B26)</f>
        <v/>
      </c>
      <c r="D26" s="28">
        <f>IF(A26="","",SUMIF('📋 Trade Log'!F5:F1000,A26,'📋 Trade Log'!Q5:Q1000))</f>
        <v/>
      </c>
      <c r="E26" s="29">
        <f>IF(A26="","",AVERAGEIF('📋 Trade Log'!F5:F1000,A26,'📋 Trade Log'!O5:O1000))</f>
        <v/>
      </c>
    </row>
    <row r="27">
      <c r="A27" s="26">
        <f>IFERROR(INDEX('📋 Trade Log'!F5:F1000,SMALL(IF('📋 Trade Log'!F5:F1000&lt;&gt;"",ROW(F5:F1000)-ROW(F5)+1),3)),"")</f>
        <v/>
      </c>
      <c r="B27" s="26">
        <f>IF(A27="",0,COUNTIF('📋 Trade Log'!F5:F1000,A27))</f>
        <v/>
      </c>
      <c r="C27" s="27">
        <f>IF(B27=0,"N/A",COUNTIFS('📋 Trade Log'!F5:F1000,A27,'📋 Trade Log'!M5:M1000,"&gt;0")/B27)</f>
        <v/>
      </c>
      <c r="D27" s="28">
        <f>IF(A27="","",SUMIF('📋 Trade Log'!F5:F1000,A27,'📋 Trade Log'!Q5:Q1000))</f>
        <v/>
      </c>
      <c r="E27" s="29">
        <f>IF(A27="","",AVERAGEIF('📋 Trade Log'!F5:F1000,A27,'📋 Trade Log'!O5:O1000))</f>
        <v/>
      </c>
    </row>
    <row r="28">
      <c r="A28" s="26">
        <f>IFERROR(INDEX('📋 Trade Log'!F5:F1000,SMALL(IF('📋 Trade Log'!F5:F1000&lt;&gt;"",ROW(F5:F1000)-ROW(F5)+1),4)),"")</f>
        <v/>
      </c>
      <c r="B28" s="26">
        <f>IF(A28="",0,COUNTIF('📋 Trade Log'!F5:F1000,A28))</f>
        <v/>
      </c>
      <c r="C28" s="27">
        <f>IF(B28=0,"N/A",COUNTIFS('📋 Trade Log'!F5:F1000,A28,'📋 Trade Log'!M5:M1000,"&gt;0")/B28)</f>
        <v/>
      </c>
      <c r="D28" s="28">
        <f>IF(A28="","",SUMIF('📋 Trade Log'!F5:F1000,A28,'📋 Trade Log'!Q5:Q1000))</f>
        <v/>
      </c>
      <c r="E28" s="29">
        <f>IF(A28="","",AVERAGEIF('📋 Trade Log'!F5:F1000,A28,'📋 Trade Log'!O5:O1000))</f>
        <v/>
      </c>
    </row>
    <row r="29">
      <c r="A29" s="26">
        <f>IFERROR(INDEX('📋 Trade Log'!F5:F1000,SMALL(IF('📋 Trade Log'!F5:F1000&lt;&gt;"",ROW(F5:F1000)-ROW(F5)+1),5)),"")</f>
        <v/>
      </c>
      <c r="B29" s="26">
        <f>IF(A29="",0,COUNTIF('📋 Trade Log'!F5:F1000,A29))</f>
        <v/>
      </c>
      <c r="C29" s="27">
        <f>IF(B29=0,"N/A",COUNTIFS('📋 Trade Log'!F5:F1000,A29,'📋 Trade Log'!M5:M1000,"&gt;0")/B29)</f>
        <v/>
      </c>
      <c r="D29" s="28">
        <f>IF(A29="","",SUMIF('📋 Trade Log'!F5:F1000,A29,'📋 Trade Log'!Q5:Q1000))</f>
        <v/>
      </c>
      <c r="E29" s="29">
        <f>IF(A29="","",AVERAGEIF('📋 Trade Log'!F5:F1000,A29,'📋 Trade Log'!O5:O1000))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I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TRADING ANALYTICS</t>
        </is>
      </c>
    </row>
    <row r="2">
      <c r="A2" s="2" t="inlineStr">
        <is>
          <t>Deep performance analysis</t>
        </is>
      </c>
    </row>
    <row r="4">
      <c r="A4" s="25" t="inlineStr">
        <is>
          <t>CUMULATIVE P&amp;L (by trade)</t>
        </is>
      </c>
      <c r="G4" s="25" t="inlineStr">
        <is>
          <t>WIN/LOSS DISTRIBUTION</t>
        </is>
      </c>
    </row>
    <row r="5">
      <c r="A5" s="3" t="inlineStr">
        <is>
          <t>Trade #</t>
        </is>
      </c>
      <c r="B5" s="3" t="inlineStr">
        <is>
          <t>Date</t>
        </is>
      </c>
      <c r="C5" s="3" t="inlineStr">
        <is>
          <t>Net P&amp;L</t>
        </is>
      </c>
      <c r="D5" s="3" t="inlineStr">
        <is>
          <t>Cumulative P&amp;L</t>
        </is>
      </c>
      <c r="E5" s="3" t="n"/>
      <c r="F5" s="3" t="n"/>
      <c r="G5" s="3" t="inlineStr">
        <is>
          <t>Range</t>
        </is>
      </c>
      <c r="H5" s="3" t="inlineStr">
        <is>
          <t>Count</t>
        </is>
      </c>
      <c r="I5" s="3" t="inlineStr">
        <is>
          <t>%</t>
        </is>
      </c>
    </row>
    <row r="6">
      <c r="A6" s="4" t="n">
        <v>1</v>
      </c>
      <c r="B6" s="5">
        <f>INDEX('📋 Trade Log'!B5:B1000,1)</f>
        <v/>
      </c>
      <c r="C6" s="6">
        <f>INDEX('📋 Trade Log'!Q5:Q1000,1)</f>
        <v/>
      </c>
      <c r="D6" s="6">
        <f>C6</f>
        <v/>
      </c>
      <c r="G6" s="4" t="inlineStr">
        <is>
          <t>&gt; $500</t>
        </is>
      </c>
      <c r="H6" s="30">
        <f>COUNTIF('📋 Trade Log'!Q5:Q1000,"&gt;500")</f>
        <v/>
      </c>
      <c r="I6" s="31">
        <f>IF(SUM($H$6:$H$11)=0,"",H6/SUM($H$6:$H$11))</f>
        <v/>
      </c>
    </row>
    <row r="7">
      <c r="A7" s="4" t="n">
        <v>2</v>
      </c>
      <c r="B7" s="5">
        <f>INDEX('📋 Trade Log'!B5:B1000,2)</f>
        <v/>
      </c>
      <c r="C7" s="6">
        <f>INDEX('📋 Trade Log'!Q5:Q1000,2)</f>
        <v/>
      </c>
      <c r="D7" s="6">
        <f>D6+C7</f>
        <v/>
      </c>
      <c r="G7" s="4" t="inlineStr">
        <is>
          <t>$100 - $500</t>
        </is>
      </c>
      <c r="H7" s="30">
        <f>COUNTIFS('📋 Trade Log'!Q5:Q1000,"&gt;=100",'📋 Trade Log'!Q5:Q1000,"&lt;=500")</f>
        <v/>
      </c>
      <c r="I7" s="31">
        <f>IF(SUM($H$6:$H$11)=0,"",H7/SUM($H$6:$H$11))</f>
        <v/>
      </c>
    </row>
    <row r="8">
      <c r="A8" s="4" t="n">
        <v>3</v>
      </c>
      <c r="B8" s="5">
        <f>INDEX('📋 Trade Log'!B5:B1000,3)</f>
        <v/>
      </c>
      <c r="C8" s="6">
        <f>INDEX('📋 Trade Log'!Q5:Q1000,3)</f>
        <v/>
      </c>
      <c r="D8" s="6">
        <f>D7+C8</f>
        <v/>
      </c>
      <c r="G8" s="4" t="inlineStr">
        <is>
          <t>$0 - $100</t>
        </is>
      </c>
      <c r="H8" s="30">
        <f>COUNTIFS('📋 Trade Log'!Q5:Q1000,"&gt;=0",'📋 Trade Log'!Q5:Q1000,"&lt;100")</f>
        <v/>
      </c>
      <c r="I8" s="31">
        <f>IF(SUM($H$6:$H$11)=0,"",H8/SUM($H$6:$H$11))</f>
        <v/>
      </c>
    </row>
    <row r="9">
      <c r="A9" s="4" t="n">
        <v>4</v>
      </c>
      <c r="B9" s="5">
        <f>INDEX('📋 Trade Log'!B5:B1000,4)</f>
        <v/>
      </c>
      <c r="C9" s="6">
        <f>INDEX('📋 Trade Log'!Q5:Q1000,4)</f>
        <v/>
      </c>
      <c r="D9" s="6">
        <f>D8+C9</f>
        <v/>
      </c>
      <c r="G9" s="4" t="inlineStr">
        <is>
          <t>-$100 - $0</t>
        </is>
      </c>
      <c r="H9" s="30">
        <f>COUNTIFS('📋 Trade Log'!Q5:Q1000,"&gt;=-100",'📋 Trade Log'!Q5:Q1000,"&lt;0")</f>
        <v/>
      </c>
      <c r="I9" s="31">
        <f>IF(SUM($H$6:$H$11)=0,"",H9/SUM($H$6:$H$11))</f>
        <v/>
      </c>
    </row>
    <row r="10">
      <c r="A10" s="4" t="n">
        <v>5</v>
      </c>
      <c r="B10" s="5">
        <f>INDEX('📋 Trade Log'!B5:B1000,5)</f>
        <v/>
      </c>
      <c r="C10" s="6">
        <f>INDEX('📋 Trade Log'!Q5:Q1000,5)</f>
        <v/>
      </c>
      <c r="D10" s="6">
        <f>D9+C10</f>
        <v/>
      </c>
      <c r="G10" s="4" t="inlineStr">
        <is>
          <t>-$500 - -$100</t>
        </is>
      </c>
      <c r="H10" s="30">
        <f>COUNTIFS('📋 Trade Log'!Q5:Q1000,"&gt;=-500",'📋 Trade Log'!Q5:Q1000,"&lt;-100")</f>
        <v/>
      </c>
      <c r="I10" s="31">
        <f>IF(SUM($H$6:$H$11)=0,"",H10/SUM($H$6:$H$11))</f>
        <v/>
      </c>
    </row>
    <row r="11">
      <c r="A11" s="4" t="n">
        <v>6</v>
      </c>
      <c r="B11" s="5">
        <f>INDEX('📋 Trade Log'!B5:B1000,6)</f>
        <v/>
      </c>
      <c r="C11" s="6">
        <f>INDEX('📋 Trade Log'!Q5:Q1000,6)</f>
        <v/>
      </c>
      <c r="D11" s="6">
        <f>D10+C11</f>
        <v/>
      </c>
      <c r="G11" s="4" t="inlineStr">
        <is>
          <t>&lt; -$500</t>
        </is>
      </c>
      <c r="H11" s="30">
        <f>COUNTIF('📋 Trade Log'!Q5:Q1000,"&lt;-500")</f>
        <v/>
      </c>
      <c r="I11" s="31">
        <f>IF(SUM($H$6:$H$11)=0,"",H11/SUM($H$6:$H$11))</f>
        <v/>
      </c>
    </row>
    <row r="12">
      <c r="A12" s="4" t="n">
        <v>7</v>
      </c>
      <c r="B12" s="5">
        <f>INDEX('📋 Trade Log'!B5:B1000,7)</f>
        <v/>
      </c>
      <c r="C12" s="6">
        <f>INDEX('📋 Trade Log'!Q5:Q1000,7)</f>
        <v/>
      </c>
      <c r="D12" s="6">
        <f>D11+C12</f>
        <v/>
      </c>
    </row>
    <row r="13">
      <c r="A13" s="4" t="n">
        <v>8</v>
      </c>
      <c r="B13" s="5">
        <f>INDEX('📋 Trade Log'!B5:B1000,8)</f>
        <v/>
      </c>
      <c r="C13" s="6">
        <f>INDEX('📋 Trade Log'!Q5:Q1000,8)</f>
        <v/>
      </c>
      <c r="D13" s="6">
        <f>D12+C13</f>
        <v/>
      </c>
    </row>
    <row r="14">
      <c r="A14" s="25" t="inlineStr">
        <is>
          <t>MONTHLY PERFORMANCE</t>
        </is>
      </c>
      <c r="B14" s="5">
        <f>INDEX('📋 Trade Log'!B5:B1000,9)</f>
        <v/>
      </c>
      <c r="C14" s="6">
        <f>INDEX('📋 Trade Log'!Q5:Q1000,9)</f>
        <v/>
      </c>
      <c r="D14" s="6">
        <f>D13+C14</f>
        <v/>
      </c>
    </row>
    <row r="15">
      <c r="A15" s="3" t="inlineStr">
        <is>
          <t>Month</t>
        </is>
      </c>
      <c r="B15" s="32" t="inlineStr">
        <is>
          <t>Trades</t>
        </is>
      </c>
      <c r="C15" s="33" t="inlineStr">
        <is>
          <t>Win Rate</t>
        </is>
      </c>
      <c r="D15" s="33" t="inlineStr">
        <is>
          <t>Gross P&amp;L</t>
        </is>
      </c>
      <c r="E15" s="3" t="inlineStr">
        <is>
          <t>Net P&amp;L</t>
        </is>
      </c>
      <c r="F15" s="3" t="inlineStr">
        <is>
          <t>Avg R</t>
        </is>
      </c>
    </row>
    <row r="16">
      <c r="A16" s="4" t="inlineStr">
        <is>
          <t>Jan</t>
        </is>
      </c>
      <c r="B16" s="5">
        <f>COUNTIFS('📋 Trade Log'!B5:B1000,"&gt;=2026-01-01",'📋 Trade Log'!B5:B1000,"&lt;2026-02-01")</f>
        <v/>
      </c>
      <c r="C16" s="34">
        <f>IF(B16=0,"N/A",COUNTIFS('📋 Trade Log'!B5:B1000,"&gt;=2026-01-01",'📋 Trade Log'!B5:B1000,"&lt;2026-02-01",'📋 Trade Log'!M5:M1000,"&gt;0")/B16)</f>
        <v/>
      </c>
      <c r="D16" s="6">
        <f>SUMIFS('📋 Trade Log'!M5:M1000,'📋 Trade Log'!B5:B1000,"&gt;=2026-01-01",'📋 Trade Log'!B5:B1000,"&lt;2026-02-01")</f>
        <v/>
      </c>
      <c r="E16" s="35">
        <f>SUMIFS('📋 Trade Log'!Q5:Q1000,'📋 Trade Log'!B5:B1000,"&gt;=2026-01-01",'📋 Trade Log'!B5:B1000,"&lt;2026-02-01")</f>
        <v/>
      </c>
      <c r="F16" s="36">
        <f>IF(B16=0,"N/A",AVERAGEIFS('📋 Trade Log'!O5:O1000,'📋 Trade Log'!B5:B1000,"&gt;=2026-01-01",'📋 Trade Log'!B5:B1000,"&lt;2026-02-01"))</f>
        <v/>
      </c>
    </row>
    <row r="17">
      <c r="A17" s="4" t="inlineStr">
        <is>
          <t>Feb</t>
        </is>
      </c>
      <c r="B17" s="5">
        <f>COUNTIFS('📋 Trade Log'!B5:B1000,"&gt;=2026-02-01",'📋 Trade Log'!B5:B1000,"&lt;2026-03-01")</f>
        <v/>
      </c>
      <c r="C17" s="34">
        <f>IF(B17=0,"N/A",COUNTIFS('📋 Trade Log'!B5:B1000,"&gt;=2026-02-01",'📋 Trade Log'!B5:B1000,"&lt;2026-03-01",'📋 Trade Log'!M5:M1000,"&gt;0")/B17)</f>
        <v/>
      </c>
      <c r="D17" s="6">
        <f>SUMIFS('📋 Trade Log'!M5:M1000,'📋 Trade Log'!B5:B1000,"&gt;=2026-02-01",'📋 Trade Log'!B5:B1000,"&lt;2026-03-01")</f>
        <v/>
      </c>
      <c r="E17" s="35">
        <f>SUMIFS('📋 Trade Log'!Q5:Q1000,'📋 Trade Log'!B5:B1000,"&gt;=2026-02-01",'📋 Trade Log'!B5:B1000,"&lt;2026-03-01")</f>
        <v/>
      </c>
      <c r="F17" s="36">
        <f>IF(B17=0,"N/A",AVERAGEIFS('📋 Trade Log'!O5:O1000,'📋 Trade Log'!B5:B1000,"&gt;=2026-02-01",'📋 Trade Log'!B5:B1000,"&lt;2026-03-01"))</f>
        <v/>
      </c>
    </row>
    <row r="18">
      <c r="A18" s="4" t="inlineStr">
        <is>
          <t>Mar</t>
        </is>
      </c>
      <c r="B18" s="5">
        <f>COUNTIFS('📋 Trade Log'!B5:B1000,"&gt;=2026-03-01",'📋 Trade Log'!B5:B1000,"&lt;2026-04-01")</f>
        <v/>
      </c>
      <c r="C18" s="34">
        <f>IF(B18=0,"N/A",COUNTIFS('📋 Trade Log'!B5:B1000,"&gt;=2026-03-01",'📋 Trade Log'!B5:B1000,"&lt;2026-04-01",'📋 Trade Log'!M5:M1000,"&gt;0")/B18)</f>
        <v/>
      </c>
      <c r="D18" s="6">
        <f>SUMIFS('📋 Trade Log'!M5:M1000,'📋 Trade Log'!B5:B1000,"&gt;=2026-03-01",'📋 Trade Log'!B5:B1000,"&lt;2026-04-01")</f>
        <v/>
      </c>
      <c r="E18" s="35">
        <f>SUMIFS('📋 Trade Log'!Q5:Q1000,'📋 Trade Log'!B5:B1000,"&gt;=2026-03-01",'📋 Trade Log'!B5:B1000,"&lt;2026-04-01")</f>
        <v/>
      </c>
      <c r="F18" s="36">
        <f>IF(B18=0,"N/A",AVERAGEIFS('📋 Trade Log'!O5:O1000,'📋 Trade Log'!B5:B1000,"&gt;=2026-03-01",'📋 Trade Log'!B5:B1000,"&lt;2026-04-01"))</f>
        <v/>
      </c>
    </row>
    <row r="19">
      <c r="A19" s="4" t="inlineStr">
        <is>
          <t>Apr</t>
        </is>
      </c>
      <c r="B19" s="5">
        <f>COUNTIFS('📋 Trade Log'!B5:B1000,"&gt;=2026-04-01",'📋 Trade Log'!B5:B1000,"&lt;2026-05-01")</f>
        <v/>
      </c>
      <c r="C19" s="34">
        <f>IF(B19=0,"N/A",COUNTIFS('📋 Trade Log'!B5:B1000,"&gt;=2026-04-01",'📋 Trade Log'!B5:B1000,"&lt;2026-05-01",'📋 Trade Log'!M5:M1000,"&gt;0")/B19)</f>
        <v/>
      </c>
      <c r="D19" s="6">
        <f>SUMIFS('📋 Trade Log'!M5:M1000,'📋 Trade Log'!B5:B1000,"&gt;=2026-04-01",'📋 Trade Log'!B5:B1000,"&lt;2026-05-01")</f>
        <v/>
      </c>
      <c r="E19" s="35">
        <f>SUMIFS('📋 Trade Log'!Q5:Q1000,'📋 Trade Log'!B5:B1000,"&gt;=2026-04-01",'📋 Trade Log'!B5:B1000,"&lt;2026-05-01")</f>
        <v/>
      </c>
      <c r="F19" s="36">
        <f>IF(B19=0,"N/A",AVERAGEIFS('📋 Trade Log'!O5:O1000,'📋 Trade Log'!B5:B1000,"&gt;=2026-04-01",'📋 Trade Log'!B5:B1000,"&lt;2026-05-01"))</f>
        <v/>
      </c>
    </row>
    <row r="20">
      <c r="A20" s="4" t="inlineStr">
        <is>
          <t>May</t>
        </is>
      </c>
      <c r="B20" s="5">
        <f>COUNTIFS('📋 Trade Log'!B5:B1000,"&gt;=2026-05-01",'📋 Trade Log'!B5:B1000,"&lt;2026-06-01")</f>
        <v/>
      </c>
      <c r="C20" s="34">
        <f>IF(B20=0,"N/A",COUNTIFS('📋 Trade Log'!B5:B1000,"&gt;=2026-05-01",'📋 Trade Log'!B5:B1000,"&lt;2026-06-01",'📋 Trade Log'!M5:M1000,"&gt;0")/B20)</f>
        <v/>
      </c>
      <c r="D20" s="6">
        <f>SUMIFS('📋 Trade Log'!M5:M1000,'📋 Trade Log'!B5:B1000,"&gt;=2026-05-01",'📋 Trade Log'!B5:B1000,"&lt;2026-06-01")</f>
        <v/>
      </c>
      <c r="E20" s="35">
        <f>SUMIFS('📋 Trade Log'!Q5:Q1000,'📋 Trade Log'!B5:B1000,"&gt;=2026-05-01",'📋 Trade Log'!B5:B1000,"&lt;2026-06-01")</f>
        <v/>
      </c>
      <c r="F20" s="36">
        <f>IF(B20=0,"N/A",AVERAGEIFS('📋 Trade Log'!O5:O1000,'📋 Trade Log'!B5:B1000,"&gt;=2026-05-01",'📋 Trade Log'!B5:B1000,"&lt;2026-06-01"))</f>
        <v/>
      </c>
    </row>
    <row r="21">
      <c r="A21" s="4" t="inlineStr">
        <is>
          <t>Jun</t>
        </is>
      </c>
      <c r="B21" s="5">
        <f>COUNTIFS('📋 Trade Log'!B5:B1000,"&gt;=2026-06-01",'📋 Trade Log'!B5:B1000,"&lt;2026-07-01")</f>
        <v/>
      </c>
      <c r="C21" s="34">
        <f>IF(B21=0,"N/A",COUNTIFS('📋 Trade Log'!B5:B1000,"&gt;=2026-06-01",'📋 Trade Log'!B5:B1000,"&lt;2026-07-01",'📋 Trade Log'!M5:M1000,"&gt;0")/B21)</f>
        <v/>
      </c>
      <c r="D21" s="6">
        <f>SUMIFS('📋 Trade Log'!M5:M1000,'📋 Trade Log'!B5:B1000,"&gt;=2026-06-01",'📋 Trade Log'!B5:B1000,"&lt;2026-07-01")</f>
        <v/>
      </c>
      <c r="E21" s="35">
        <f>SUMIFS('📋 Trade Log'!Q5:Q1000,'📋 Trade Log'!B5:B1000,"&gt;=2026-06-01",'📋 Trade Log'!B5:B1000,"&lt;2026-07-01")</f>
        <v/>
      </c>
      <c r="F21" s="36">
        <f>IF(B21=0,"N/A",AVERAGEIFS('📋 Trade Log'!O5:O1000,'📋 Trade Log'!B5:B1000,"&gt;=2026-06-01",'📋 Trade Log'!B5:B1000,"&lt;2026-07-01"))</f>
        <v/>
      </c>
    </row>
    <row r="22">
      <c r="A22" s="4" t="inlineStr">
        <is>
          <t>Jul</t>
        </is>
      </c>
      <c r="B22" s="5">
        <f>COUNTIFS('📋 Trade Log'!B5:B1000,"&gt;=2026-07-01",'📋 Trade Log'!B5:B1000,"&lt;2026-08-01")</f>
        <v/>
      </c>
      <c r="C22" s="34">
        <f>IF(B22=0,"N/A",COUNTIFS('📋 Trade Log'!B5:B1000,"&gt;=2026-07-01",'📋 Trade Log'!B5:B1000,"&lt;2026-08-01",'📋 Trade Log'!M5:M1000,"&gt;0")/B22)</f>
        <v/>
      </c>
      <c r="D22" s="6">
        <f>SUMIFS('📋 Trade Log'!M5:M1000,'📋 Trade Log'!B5:B1000,"&gt;=2026-07-01",'📋 Trade Log'!B5:B1000,"&lt;2026-08-01")</f>
        <v/>
      </c>
      <c r="E22" s="35">
        <f>SUMIFS('📋 Trade Log'!Q5:Q1000,'📋 Trade Log'!B5:B1000,"&gt;=2026-07-01",'📋 Trade Log'!B5:B1000,"&lt;2026-08-01")</f>
        <v/>
      </c>
      <c r="F22" s="36">
        <f>IF(B22=0,"N/A",AVERAGEIFS('📋 Trade Log'!O5:O1000,'📋 Trade Log'!B5:B1000,"&gt;=2026-07-01",'📋 Trade Log'!B5:B1000,"&lt;2026-08-01"))</f>
        <v/>
      </c>
    </row>
    <row r="23">
      <c r="A23" s="4" t="inlineStr">
        <is>
          <t>Aug</t>
        </is>
      </c>
      <c r="B23" s="5">
        <f>COUNTIFS('📋 Trade Log'!B5:B1000,"&gt;=2026-08-01",'📋 Trade Log'!B5:B1000,"&lt;2026-09-01")</f>
        <v/>
      </c>
      <c r="C23" s="34">
        <f>IF(B23=0,"N/A",COUNTIFS('📋 Trade Log'!B5:B1000,"&gt;=2026-08-01",'📋 Trade Log'!B5:B1000,"&lt;2026-09-01",'📋 Trade Log'!M5:M1000,"&gt;0")/B23)</f>
        <v/>
      </c>
      <c r="D23" s="6">
        <f>SUMIFS('📋 Trade Log'!M5:M1000,'📋 Trade Log'!B5:B1000,"&gt;=2026-08-01",'📋 Trade Log'!B5:B1000,"&lt;2026-09-01")</f>
        <v/>
      </c>
      <c r="E23" s="35">
        <f>SUMIFS('📋 Trade Log'!Q5:Q1000,'📋 Trade Log'!B5:B1000,"&gt;=2026-08-01",'📋 Trade Log'!B5:B1000,"&lt;2026-09-01")</f>
        <v/>
      </c>
      <c r="F23" s="36">
        <f>IF(B23=0,"N/A",AVERAGEIFS('📋 Trade Log'!O5:O1000,'📋 Trade Log'!B5:B1000,"&gt;=2026-08-01",'📋 Trade Log'!B5:B1000,"&lt;2026-09-01"))</f>
        <v/>
      </c>
    </row>
    <row r="24">
      <c r="A24" s="4" t="inlineStr">
        <is>
          <t>Sep</t>
        </is>
      </c>
      <c r="B24" s="5">
        <f>COUNTIFS('📋 Trade Log'!B5:B1000,"&gt;=2026-09-01",'📋 Trade Log'!B5:B1000,"&lt;2026-10-01")</f>
        <v/>
      </c>
      <c r="C24" s="34">
        <f>IF(B24=0,"N/A",COUNTIFS('📋 Trade Log'!B5:B1000,"&gt;=2026-09-01",'📋 Trade Log'!B5:B1000,"&lt;2026-10-01",'📋 Trade Log'!M5:M1000,"&gt;0")/B24)</f>
        <v/>
      </c>
      <c r="D24" s="6">
        <f>SUMIFS('📋 Trade Log'!M5:M1000,'📋 Trade Log'!B5:B1000,"&gt;=2026-09-01",'📋 Trade Log'!B5:B1000,"&lt;2026-10-01")</f>
        <v/>
      </c>
      <c r="E24" s="35">
        <f>SUMIFS('📋 Trade Log'!Q5:Q1000,'📋 Trade Log'!B5:B1000,"&gt;=2026-09-01",'📋 Trade Log'!B5:B1000,"&lt;2026-10-01")</f>
        <v/>
      </c>
      <c r="F24" s="36">
        <f>IF(B24=0,"N/A",AVERAGEIFS('📋 Trade Log'!O5:O1000,'📋 Trade Log'!B5:B1000,"&gt;=2026-09-01",'📋 Trade Log'!B5:B1000,"&lt;2026-10-01"))</f>
        <v/>
      </c>
    </row>
    <row r="25">
      <c r="A25" s="4" t="inlineStr">
        <is>
          <t>Oct</t>
        </is>
      </c>
      <c r="B25" s="5">
        <f>COUNTIFS('📋 Trade Log'!B5:B1000,"&gt;=2026-10-01",'📋 Trade Log'!B5:B1000,"&lt;2026-11-01")</f>
        <v/>
      </c>
      <c r="C25" s="34">
        <f>IF(B25=0,"N/A",COUNTIFS('📋 Trade Log'!B5:B1000,"&gt;=2026-10-01",'📋 Trade Log'!B5:B1000,"&lt;2026-11-01",'📋 Trade Log'!M5:M1000,"&gt;0")/B25)</f>
        <v/>
      </c>
      <c r="D25" s="6">
        <f>SUMIFS('📋 Trade Log'!M5:M1000,'📋 Trade Log'!B5:B1000,"&gt;=2026-10-01",'📋 Trade Log'!B5:B1000,"&lt;2026-11-01")</f>
        <v/>
      </c>
      <c r="E25" s="35">
        <f>SUMIFS('📋 Trade Log'!Q5:Q1000,'📋 Trade Log'!B5:B1000,"&gt;=2026-10-01",'📋 Trade Log'!B5:B1000,"&lt;2026-11-01")</f>
        <v/>
      </c>
      <c r="F25" s="36">
        <f>IF(B25=0,"N/A",AVERAGEIFS('📋 Trade Log'!O5:O1000,'📋 Trade Log'!B5:B1000,"&gt;=2026-10-01",'📋 Trade Log'!B5:B1000,"&lt;2026-11-01"))</f>
        <v/>
      </c>
    </row>
    <row r="26">
      <c r="A26" s="4" t="inlineStr">
        <is>
          <t>Nov</t>
        </is>
      </c>
      <c r="B26" s="30">
        <f>COUNTIFS('📋 Trade Log'!B5:B1000,"&gt;=2026-11-01",'📋 Trade Log'!B5:B1000,"&lt;2026-12-01")</f>
        <v/>
      </c>
      <c r="C26" s="31">
        <f>IF(B26=0,"N/A",COUNTIFS('📋 Trade Log'!B5:B1000,"&gt;=2026-11-01",'📋 Trade Log'!B5:B1000,"&lt;2026-12-01",'📋 Trade Log'!M5:M1000,"&gt;0")/B26)</f>
        <v/>
      </c>
      <c r="D26" s="35">
        <f>SUMIFS('📋 Trade Log'!M5:M1000,'📋 Trade Log'!B5:B1000,"&gt;=2026-11-01",'📋 Trade Log'!B5:B1000,"&lt;2026-12-01")</f>
        <v/>
      </c>
      <c r="E26" s="35">
        <f>SUMIFS('📋 Trade Log'!Q5:Q1000,'📋 Trade Log'!B5:B1000,"&gt;=2026-11-01",'📋 Trade Log'!B5:B1000,"&lt;2026-12-01")</f>
        <v/>
      </c>
      <c r="F26" s="36">
        <f>IF(B26=0,"N/A",AVERAGEIFS('📋 Trade Log'!O5:O1000,'📋 Trade Log'!B5:B1000,"&gt;=2026-11-01",'📋 Trade Log'!B5:B1000,"&lt;2026-12-01"))</f>
        <v/>
      </c>
    </row>
    <row r="27">
      <c r="A27" s="4" t="inlineStr">
        <is>
          <t>Dec</t>
        </is>
      </c>
      <c r="B27" s="30">
        <f>COUNTIFS('📋 Trade Log'!B5:B1000,"&gt;=2026-12-01",'📋 Trade Log'!B5:B1000,"&lt;2026-13-01")</f>
        <v/>
      </c>
      <c r="C27" s="31">
        <f>IF(B27=0,"N/A",COUNTIFS('📋 Trade Log'!B5:B1000,"&gt;=2026-12-01",'📋 Trade Log'!B5:B1000,"&lt;2026-13-01",'📋 Trade Log'!M5:M1000,"&gt;0")/B27)</f>
        <v/>
      </c>
      <c r="D27" s="35">
        <f>SUMIFS('📋 Trade Log'!M5:M1000,'📋 Trade Log'!B5:B1000,"&gt;=2026-12-01",'📋 Trade Log'!B5:B1000,"&lt;2026-13-01")</f>
        <v/>
      </c>
      <c r="E27" s="35">
        <f>SUMIFS('📋 Trade Log'!Q5:Q1000,'📋 Trade Log'!B5:B1000,"&gt;=2026-12-01",'📋 Trade Log'!B5:B1000,"&lt;2026-13-01")</f>
        <v/>
      </c>
      <c r="F27" s="36">
        <f>IF(B27=0,"N/A",AVERAGEIFS('📋 Trade Log'!O5:O1000,'📋 Trade Log'!B5:B1000,"&gt;=2026-12-01",'📋 Trade Log'!B5:B1000,"&lt;2026-13-01"))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E6C8"/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PRO TRADING JOURNAL</t>
        </is>
      </c>
    </row>
    <row r="2">
      <c r="A2" s="2" t="inlineStr">
        <is>
          <t>Setup Guide &amp; Instructions</t>
        </is>
      </c>
    </row>
    <row r="4" ht="25" customHeight="1">
      <c r="A4" s="25" t="inlineStr">
        <is>
          <t>🚀 QUICK START</t>
        </is>
      </c>
    </row>
    <row r="5">
      <c r="A5" s="37" t="inlineStr">
        <is>
          <t>1. Open this file in Google Sheets (upload to Google Drive, double-click)</t>
        </is>
      </c>
    </row>
    <row r="6">
      <c r="A6" s="37" t="inlineStr">
        <is>
          <t>2. Go to the '📋 Trade Log' tab and start entering your trades</t>
        </is>
      </c>
    </row>
    <row r="7">
      <c r="A7" s="37" t="inlineStr">
        <is>
          <t>3. The Dashboard and Analytics update automatically</t>
        </is>
      </c>
    </row>
    <row r="8" ht="25" customHeight="1">
      <c r="A8" s="25" t="inlineStr">
        <is>
          <t>📋 TRADE LOG — How to Fill In</t>
        </is>
      </c>
    </row>
    <row r="9">
      <c r="A9" s="37" t="inlineStr">
        <is>
          <t>• Trade #: Auto-numbered (just enter 1, 2, 3...)</t>
        </is>
      </c>
    </row>
    <row r="10">
      <c r="A10" s="37" t="inlineStr">
        <is>
          <t>• Date: Entry date (YYYY-MM-DD)</t>
        </is>
      </c>
    </row>
    <row r="11">
      <c r="A11" s="37" t="inlineStr">
        <is>
          <t>• Market: US / HK / A / FX / Crypto</t>
        </is>
      </c>
    </row>
    <row r="12">
      <c r="A12" s="37" t="inlineStr">
        <is>
          <t>• Symbol: Ticker (e.g., NVDA, 0700.HK, XAUUSD)</t>
        </is>
      </c>
    </row>
    <row r="13">
      <c r="A13" s="37" t="inlineStr">
        <is>
          <t>• Direction: Long or Short</t>
        </is>
      </c>
    </row>
    <row r="14">
      <c r="A14" s="37" t="inlineStr">
        <is>
          <t>• Setup/Strategy: Your trading setup (e.g., 'Breakout Pullback', 'Support Bounce')</t>
        </is>
      </c>
    </row>
    <row r="15">
      <c r="A15" s="37" t="inlineStr">
        <is>
          <t>• Entry Price / Stop Loss / Take Profit: Your levels</t>
        </is>
      </c>
    </row>
    <row r="16">
      <c r="A16" s="37" t="inlineStr">
        <is>
          <t>• Position Size: Number of shares/lots/contracts</t>
        </is>
      </c>
    </row>
    <row r="17">
      <c r="A17" s="37" t="inlineStr">
        <is>
          <t>• Exit Price / Exit Date: Fill when you close the trade</t>
        </is>
      </c>
    </row>
    <row r="18">
      <c r="A18" s="37" t="inlineStr">
        <is>
          <t>• P&amp;L / R-Multiple / Net P&amp;L: Auto-calculated!</t>
        </is>
      </c>
    </row>
    <row r="19">
      <c r="A19" s="37" t="inlineStr">
        <is>
          <t>• Mistakes: Note any trading errors for review</t>
        </is>
      </c>
    </row>
    <row r="20">
      <c r="A20" s="37" t="inlineStr">
        <is>
          <t>• Notes: Free-form notes about the trade</t>
        </is>
      </c>
    </row>
    <row r="22" ht="25" customHeight="1">
      <c r="A22" s="25" t="inlineStr">
        <is>
          <t>📊 DASHBOARD — What You'll See</t>
        </is>
      </c>
    </row>
    <row r="23">
      <c r="A23" s="37" t="inlineStr">
        <is>
          <t>• Total trades, win rate, profit factor — all auto-calculated</t>
        </is>
      </c>
    </row>
    <row r="24">
      <c r="A24" s="37" t="inlineStr">
        <is>
          <t>• Performance by Market: Which market makes you the most money?</t>
        </is>
      </c>
    </row>
    <row r="25">
      <c r="A25" s="37" t="inlineStr">
        <is>
          <t>• Performance by Strategy: Which setups have the highest win rate?</t>
        </is>
      </c>
    </row>
    <row r="26">
      <c r="A26" s="37" t="inlineStr">
        <is>
          <t>• Key metrics: AVG WIN, AVG LOSS, BEST/WORST trade, MAX DRAWDOWN</t>
        </is>
      </c>
    </row>
    <row r="29" ht="25" customHeight="1">
      <c r="A29" s="25" t="inlineStr">
        <is>
          <t>📈 ANALYTICS — Deep Dive</t>
        </is>
      </c>
    </row>
    <row r="30">
      <c r="A30" s="37" t="inlineStr">
        <is>
          <t>• Cumulative P&amp;L: Your equity curve over time</t>
        </is>
      </c>
    </row>
    <row r="31">
      <c r="A31" s="37" t="inlineStr">
        <is>
          <t>• Win/Loss Distribution: How are your P&amp;L amounts distributed?</t>
        </is>
      </c>
    </row>
    <row r="32">
      <c r="A32" s="37" t="inlineStr">
        <is>
          <t>• Monthly Performance: Track month-by-month consistency</t>
        </is>
      </c>
    </row>
    <row r="36" ht="25" customHeight="1">
      <c r="A36" s="25" t="inlineStr">
        <is>
          <t>💡 PRO TIPS</t>
        </is>
      </c>
    </row>
    <row r="37">
      <c r="A37" s="37" t="inlineStr">
        <is>
          <t>• Be honest in the 'Mistakes' column — this is for YOUR improvement</t>
        </is>
      </c>
    </row>
    <row r="38">
      <c r="A38" s="37" t="inlineStr">
        <is>
          <t>• Use consistent setup names so the strategy analysis is meaningful</t>
        </is>
      </c>
    </row>
    <row r="39">
      <c r="A39" s="37" t="inlineStr">
        <is>
          <t>• Review the Dashboard weekly to identify your best setups</t>
        </is>
      </c>
    </row>
    <row r="40">
      <c r="A40" s="37" t="inlineStr">
        <is>
          <t>• Track every trade — even the small ones — for accurate stats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2026-05-11T00:39:48Z</dcterms:created>
  <dcterms:modified xmlns:dcterms="http://purl.org/dc/terms/" xmlns:xsi="http://www.w3.org/2001/XMLSchema-instance" xsi:type="dcterms:W3CDTF">2026-05-11T00:39:48Z</dcterms:modified>
</cp:coreProperties>
</file>