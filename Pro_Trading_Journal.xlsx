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color rgb="000000FF"/>
    </font>
    <font>
      <b val="1"/>
    </font>
    <font>
      <color rgb="00666666"/>
      <sz val="10"/>
    </font>
    <font>
      <b val="1"/>
      <color rgb="001F4E79"/>
      <sz val="18"/>
    </font>
    <font>
      <b val="1"/>
      <color rgb="001F4E79"/>
      <sz val="12"/>
    </font>
    <font>
      <b val="1"/>
      <color rgb="001F4E79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1" fontId="7" fillId="0" borderId="0" pivotButton="0" quotePrefix="0" xfId="0"/>
    <xf numFmtId="10" fontId="7" fillId="0" borderId="0" pivotButton="0" quotePrefix="0" xfId="0"/>
    <xf numFmtId="164" fontId="7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20" customWidth="1" min="19" max="19"/>
    <col width="10" customWidth="1" min="20" max="20"/>
  </cols>
  <sheetData>
    <row r="1">
      <c r="A1" s="1" t="inlineStr">
        <is>
          <t>PRO TRADING JOURNAL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Enter your trades below. Blue cells = your input. All other cells auto-calculate.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4">
      <c r="A4" s="5" t="inlineStr">
        <is>
          <t>Trade #</t>
        </is>
      </c>
      <c r="B4" s="5" t="inlineStr">
        <is>
          <t>Date</t>
        </is>
      </c>
      <c r="C4" s="5" t="inlineStr">
        <is>
          <t>Market</t>
        </is>
      </c>
      <c r="D4" s="5" t="inlineStr">
        <is>
          <t>Symbol</t>
        </is>
      </c>
      <c r="E4" s="5" t="inlineStr">
        <is>
          <t>Direction</t>
        </is>
      </c>
      <c r="F4" s="5" t="inlineStr">
        <is>
          <t>Strategy</t>
        </is>
      </c>
      <c r="G4" s="5" t="inlineStr">
        <is>
          <t>Entry Price</t>
        </is>
      </c>
      <c r="H4" s="5" t="inlineStr">
        <is>
          <t>Exit Price</t>
        </is>
      </c>
      <c r="I4" s="5" t="inlineStr">
        <is>
          <t>Stop Loss</t>
        </is>
      </c>
      <c r="J4" s="5" t="inlineStr">
        <is>
          <t>Take Profit</t>
        </is>
      </c>
      <c r="K4" s="5" t="inlineStr">
        <is>
          <t>Position Size</t>
        </is>
      </c>
      <c r="L4" s="5" t="inlineStr">
        <is>
          <t>Qty/Lots</t>
        </is>
      </c>
      <c r="M4" s="5" t="inlineStr">
        <is>
          <t>Commission</t>
        </is>
      </c>
      <c r="N4" s="5" t="inlineStr">
        <is>
          <t>P&amp;L ($)</t>
        </is>
      </c>
      <c r="O4" s="5" t="inlineStr">
        <is>
          <t>P&amp;L (%)</t>
        </is>
      </c>
      <c r="P4" s="5" t="inlineStr">
        <is>
          <t>R Multiple</t>
        </is>
      </c>
      <c r="Q4" s="5" t="inlineStr">
        <is>
          <t>Holding Time</t>
        </is>
      </c>
      <c r="R4" s="5" t="inlineStr">
        <is>
          <t>Setup Quality</t>
        </is>
      </c>
      <c r="S4" s="5" t="inlineStr">
        <is>
          <t>Notes</t>
        </is>
      </c>
      <c r="T4" s="5" t="inlineStr">
        <is>
          <t>Status</t>
        </is>
      </c>
    </row>
    <row r="5">
      <c r="A5" s="6" t="n">
        <v>1</v>
      </c>
      <c r="B5" s="6" t="inlineStr">
        <is>
          <t>2026-01-06</t>
        </is>
      </c>
      <c r="C5" s="6" t="inlineStr">
        <is>
          <t>US</t>
        </is>
      </c>
      <c r="D5" s="6" t="inlineStr">
        <is>
          <t>AAPL</t>
        </is>
      </c>
      <c r="E5" s="6" t="inlineStr">
        <is>
          <t>Long</t>
        </is>
      </c>
      <c r="F5" s="6" t="inlineStr">
        <is>
          <t>Breakout</t>
        </is>
      </c>
      <c r="G5" s="7" t="n">
        <v>185.5</v>
      </c>
      <c r="H5" s="7" t="n">
        <v>192.3</v>
      </c>
      <c r="I5" s="7" t="n">
        <v>182</v>
      </c>
      <c r="J5" s="7" t="n">
        <v>195</v>
      </c>
      <c r="K5" s="8" t="n">
        <v>5000</v>
      </c>
      <c r="L5" s="6" t="n">
        <v>27</v>
      </c>
      <c r="M5" s="9" t="n">
        <v>2.99</v>
      </c>
      <c r="N5" s="10">
        <f>IF(H5="","",IF(E5="Long",(H5-G5)*L5-M5,(G5-H5)*L5-M5))</f>
        <v/>
      </c>
      <c r="O5" s="11">
        <f>IF(H5="","",IF(E5="Long",(H5-G5)/G5,(G5-H5)/G5))</f>
        <v/>
      </c>
      <c r="P5" s="12">
        <f>IF(H5="","",IF(E5="Long",IF((G5-I5)=0,0,N5/((G5-I5)*L5),IF((I5-G5)=0,0,N5/((I5-G5)*L5))))</f>
        <v/>
      </c>
      <c r="Q5" s="6" t="inlineStr">
        <is>
          <t>2h 15m</t>
        </is>
      </c>
      <c r="R5" s="13" t="inlineStr">
        <is>
          <t>A</t>
        </is>
      </c>
      <c r="S5" s="6" t="inlineStr">
        <is>
          <t>Clean breakout above resistance</t>
        </is>
      </c>
      <c r="T5" s="6" t="inlineStr">
        <is>
          <t>Win</t>
        </is>
      </c>
    </row>
    <row r="6">
      <c r="A6" s="6" t="n">
        <v>2</v>
      </c>
      <c r="B6" s="6" t="inlineStr">
        <is>
          <t>2026-01-07</t>
        </is>
      </c>
      <c r="C6" s="6" t="inlineStr">
        <is>
          <t>US</t>
        </is>
      </c>
      <c r="D6" s="6" t="inlineStr">
        <is>
          <t>TSLA</t>
        </is>
      </c>
      <c r="E6" s="6" t="inlineStr">
        <is>
          <t>Short</t>
        </is>
      </c>
      <c r="F6" s="6" t="inlineStr">
        <is>
          <t>Reversal</t>
        </is>
      </c>
      <c r="G6" s="7" t="n">
        <v>412.8</v>
      </c>
      <c r="H6" s="7" t="n">
        <v>405.2</v>
      </c>
      <c r="I6" s="7" t="n">
        <v>420</v>
      </c>
      <c r="J6" s="7" t="n">
        <v>395</v>
      </c>
      <c r="K6" s="8" t="n">
        <v>3000</v>
      </c>
      <c r="L6" s="6" t="n">
        <v>7</v>
      </c>
      <c r="M6" s="9" t="n">
        <v>2.99</v>
      </c>
      <c r="N6" s="10">
        <f>IF(H6="","",IF(E6="Long",(H6-G6)*L6-M6,(G6-H6)*L6-M6))</f>
        <v/>
      </c>
      <c r="O6" s="11">
        <f>IF(H6="","",IF(E6="Long",(H6-G6)/G6,(G6-H6)/G6))</f>
        <v/>
      </c>
      <c r="P6" s="12">
        <f>IF(H6="","",IF(E6="Long",IF((G6-I6)=0,0,N6/((G6-I6)*L6),IF((I6-G6)=0,0,N6/((I6-G6)*L6))))</f>
        <v/>
      </c>
      <c r="Q6" s="6" t="inlineStr">
        <is>
          <t>45m</t>
        </is>
      </c>
      <c r="R6" s="13" t="inlineStr">
        <is>
          <t>B</t>
        </is>
      </c>
      <c r="S6" s="6" t="inlineStr">
        <is>
          <t>Double top rejection</t>
        </is>
      </c>
      <c r="T6" s="6" t="inlineStr">
        <is>
          <t>Win</t>
        </is>
      </c>
    </row>
    <row r="7">
      <c r="A7" s="6" t="n">
        <v>3</v>
      </c>
      <c r="B7" s="6" t="inlineStr">
        <is>
          <t>2026-01-08</t>
        </is>
      </c>
      <c r="C7" s="6" t="inlineStr">
        <is>
          <t>HK</t>
        </is>
      </c>
      <c r="D7" s="6" t="inlineStr">
        <is>
          <t>0700.HK</t>
        </is>
      </c>
      <c r="E7" s="6" t="inlineStr">
        <is>
          <t>Long</t>
        </is>
      </c>
      <c r="F7" s="6" t="inlineStr">
        <is>
          <t>Pullback</t>
        </is>
      </c>
      <c r="G7" s="7" t="n">
        <v>385.6</v>
      </c>
      <c r="H7" s="7" t="n">
        <v>380.2</v>
      </c>
      <c r="I7" s="7" t="n">
        <v>378</v>
      </c>
      <c r="J7" s="7" t="n">
        <v>398</v>
      </c>
      <c r="K7" s="8" t="n">
        <v>8000</v>
      </c>
      <c r="L7" s="6" t="n">
        <v>21</v>
      </c>
      <c r="M7" s="9" t="n">
        <v>15</v>
      </c>
      <c r="N7" s="10">
        <f>IF(H7="","",IF(E7="Long",(H7-G7)*L7-M7,(G7-H7)*L7-M7))</f>
        <v/>
      </c>
      <c r="O7" s="11">
        <f>IF(H7="","",IF(E7="Long",(H7-G7)/G7,(G7-H7)/G7))</f>
        <v/>
      </c>
      <c r="P7" s="12">
        <f>IF(H7="","",IF(E7="Long",IF((G7-I7)=0,0,N7/((G7-I7)*L7),IF((I7-G7)=0,0,N7/((I7-G7)*L7))))</f>
        <v/>
      </c>
      <c r="Q7" s="6" t="inlineStr">
        <is>
          <t>3h 30m</t>
        </is>
      </c>
      <c r="R7" s="13" t="inlineStr">
        <is>
          <t>A</t>
        </is>
      </c>
      <c r="S7" s="6" t="inlineStr">
        <is>
          <t>Pullback to 20MA support</t>
        </is>
      </c>
      <c r="T7" s="6" t="inlineStr">
        <is>
          <t>Loss</t>
        </is>
      </c>
    </row>
    <row r="8">
      <c r="A8" s="6" t="n">
        <v>4</v>
      </c>
      <c r="B8" s="6" t="inlineStr">
        <is>
          <t>2026-01-09</t>
        </is>
      </c>
      <c r="C8" s="6" t="inlineStr">
        <is>
          <t>US</t>
        </is>
      </c>
      <c r="D8" s="6" t="inlineStr">
        <is>
          <t>NVDA</t>
        </is>
      </c>
      <c r="E8" s="6" t="inlineStr">
        <is>
          <t>Long</t>
        </is>
      </c>
      <c r="F8" s="6" t="inlineStr">
        <is>
          <t>Earnings Play</t>
        </is>
      </c>
      <c r="G8" s="7" t="n">
        <v>142.5</v>
      </c>
      <c r="H8" s="7" t="n">
        <v>151.8</v>
      </c>
      <c r="I8" s="7" t="n">
        <v>138</v>
      </c>
      <c r="J8" s="7" t="n">
        <v>155</v>
      </c>
      <c r="K8" s="8" t="n">
        <v>10000</v>
      </c>
      <c r="L8" s="6" t="n">
        <v>70</v>
      </c>
      <c r="M8" s="9" t="n">
        <v>2.99</v>
      </c>
      <c r="N8" s="10">
        <f>IF(H8="","",IF(E8="Long",(H8-G8)*L8-M8,(G8-H8)*L8-M8))</f>
        <v/>
      </c>
      <c r="O8" s="11">
        <f>IF(H8="","",IF(E8="Long",(H8-G8)/G8,(G8-H8)/G8))</f>
        <v/>
      </c>
      <c r="P8" s="12">
        <f>IF(H8="","",IF(E8="Long",IF((G8-I8)=0,0,N8/((G8-I8)*L8),IF((I8-G8)=0,0,N8/((I8-G8)*L8))))</f>
        <v/>
      </c>
      <c r="Q8" s="6" t="inlineStr">
        <is>
          <t>1d</t>
        </is>
      </c>
      <c r="R8" s="13" t="inlineStr">
        <is>
          <t>A+</t>
        </is>
      </c>
      <c r="S8" s="6" t="inlineStr">
        <is>
          <t>Earnings beat, strong guidance</t>
        </is>
      </c>
      <c r="T8" s="6" t="inlineStr">
        <is>
          <t>Win</t>
        </is>
      </c>
    </row>
    <row r="9">
      <c r="A9" s="6" t="n">
        <v>5</v>
      </c>
      <c r="B9" s="6" t="inlineStr">
        <is>
          <t>2026-01-10</t>
        </is>
      </c>
      <c r="C9" s="6" t="inlineStr">
        <is>
          <t>FX</t>
        </is>
      </c>
      <c r="D9" s="6" t="inlineStr">
        <is>
          <t>XAU/USD</t>
        </is>
      </c>
      <c r="E9" s="6" t="inlineStr">
        <is>
          <t>Long</t>
        </is>
      </c>
      <c r="F9" s="6" t="inlineStr">
        <is>
          <t>Trend Follow</t>
        </is>
      </c>
      <c r="G9" s="7" t="n">
        <v>2685.5</v>
      </c>
      <c r="H9" s="7" t="n"/>
      <c r="I9" s="7" t="n">
        <v>2660</v>
      </c>
      <c r="J9" s="7" t="n">
        <v>2750</v>
      </c>
      <c r="K9" s="8" t="n">
        <v>2000</v>
      </c>
      <c r="L9" s="6" t="n">
        <v>0.74</v>
      </c>
      <c r="M9" s="9" t="n">
        <v>1.5</v>
      </c>
      <c r="N9" s="10">
        <f>IF(H9="","",IF(E9="Long",(H9-G9)*L9-M9,(G9-H9)*L9-M9))</f>
        <v/>
      </c>
      <c r="O9" s="11">
        <f>IF(H9="","",IF(E9="Long",(H9-G9)/G9,(G9-H9)/G9))</f>
        <v/>
      </c>
      <c r="P9" s="12">
        <f>IF(H9="","",IF(E9="Long",IF((G9-I9)=0,0,N9/((G9-I9)*L9),IF((I9-G9)=0,0,N9/((I9-G9)*L9))))</f>
        <v/>
      </c>
      <c r="Q9" s="6" t="inlineStr">
        <is>
          <t>Open</t>
        </is>
      </c>
      <c r="R9" s="13" t="inlineStr">
        <is>
          <t>A</t>
        </is>
      </c>
      <c r="S9" s="6" t="inlineStr">
        <is>
          <t>Gold trend continuation</t>
        </is>
      </c>
      <c r="T9" s="6" t="inlineStr">
        <is>
          <t>Open</t>
        </is>
      </c>
    </row>
    <row r="10">
      <c r="A10" s="6" t="n">
        <v>6</v>
      </c>
      <c r="B10" s="6" t="inlineStr">
        <is>
          <t>2026-01-10</t>
        </is>
      </c>
      <c r="C10" s="6" t="inlineStr">
        <is>
          <t>US</t>
        </is>
      </c>
      <c r="D10" s="6" t="inlineStr">
        <is>
          <t>SPY</t>
        </is>
      </c>
      <c r="E10" s="6" t="inlineStr">
        <is>
          <t>Short</t>
        </is>
      </c>
      <c r="F10" s="6" t="inlineStr">
        <is>
          <t>Mean Revert</t>
        </is>
      </c>
      <c r="G10" s="7" t="n">
        <v>598.2</v>
      </c>
      <c r="H10" s="7" t="n">
        <v>595.8</v>
      </c>
      <c r="I10" s="7" t="n">
        <v>602</v>
      </c>
      <c r="J10" s="7" t="n">
        <v>590</v>
      </c>
      <c r="K10" s="8" t="n">
        <v>4000</v>
      </c>
      <c r="L10" s="6" t="n">
        <v>7</v>
      </c>
      <c r="M10" s="9" t="n">
        <v>2.99</v>
      </c>
      <c r="N10" s="10">
        <f>IF(H10="","",IF(E10="Long",(H10-G10)*L10-M10,(G10-H10)*L10-M10))</f>
        <v/>
      </c>
      <c r="O10" s="11">
        <f>IF(H10="","",IF(E10="Long",(H10-G10)/G10,(G10-H10)/G10))</f>
        <v/>
      </c>
      <c r="P10" s="12">
        <f>IF(H10="","",IF(E10="Long",IF((G10-I10)=0,0,N10/((G10-I10)*L10),IF((I10-G10)=0,0,N10/((I10-G10)*L10))))</f>
        <v/>
      </c>
      <c r="Q10" s="6" t="inlineStr">
        <is>
          <t>1h 45m</t>
        </is>
      </c>
      <c r="R10" s="13" t="inlineStr">
        <is>
          <t>B</t>
        </is>
      </c>
      <c r="S10" s="6" t="inlineStr">
        <is>
          <t>Overbought RSI divergence</t>
        </is>
      </c>
      <c r="T10" s="6" t="inlineStr">
        <is>
          <t>Win</t>
        </is>
      </c>
    </row>
    <row r="12">
      <c r="A12" s="14" t="inlineStr">
        <is>
          <t>TOTALS</t>
        </is>
      </c>
      <c r="N12" s="15">
        <f>SUM(N5:N10)</f>
        <v/>
      </c>
      <c r="O12" s="16">
        <f>IF(COUNTA(N5:N10)&gt;0,AVERAGE(O5:O10),0)</f>
        <v/>
      </c>
      <c r="P12" s="17">
        <f>AVERAGE(P5:P10)</f>
        <v/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017"/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TRADING PERFORMANCE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8" t="inlineStr">
        <is>
          <t>Total Trades</t>
        </is>
      </c>
      <c r="C3" s="18" t="inlineStr">
        <is>
          <t>Win Rate</t>
        </is>
      </c>
      <c r="E3" s="18" t="inlineStr">
        <is>
          <t>Total P&amp;L ($)</t>
        </is>
      </c>
      <c r="G3" s="18" t="inlineStr">
        <is>
          <t>Avg R Multiple</t>
        </is>
      </c>
    </row>
    <row r="4">
      <c r="A4" s="19">
        <f>COUNTA('Trade Log'!A5:A104)</f>
        <v/>
      </c>
      <c r="C4" s="20">
        <f>IF(COUNTA('Trade Log'!N5:N104)&gt;0,COUNTIF('Trade Log'!N5:N104,"&gt;0")/COUNTA('Trade Log'!N5:N104),0)</f>
        <v/>
      </c>
      <c r="E4" s="21">
        <f>SUM('Trade Log'!N5:N104)</f>
        <v/>
      </c>
      <c r="G4" s="22">
        <f>AVERAGE('Trade Log'!P5:P104)</f>
        <v/>
      </c>
    </row>
    <row r="5">
      <c r="A5" s="18" t="inlineStr">
        <is>
          <t>Best Trade</t>
        </is>
      </c>
      <c r="C5" s="18" t="inlineStr">
        <is>
          <t>Worst Trade</t>
        </is>
      </c>
      <c r="E5" s="18" t="inlineStr">
        <is>
          <t>Profit Factor</t>
        </is>
      </c>
      <c r="G5" s="18" t="inlineStr">
        <is>
          <t>Avg Hold Time</t>
        </is>
      </c>
    </row>
    <row r="6">
      <c r="A6" s="21">
        <f>IF(COUNTA('Trade Log'!N5:N104)&gt;0,MAX('Trade Log'!N5:N104),0)</f>
        <v/>
      </c>
      <c r="C6" s="21">
        <f>IF(COUNTA('Trade Log'!N5:N104)&gt;0,MIN('Trade Log'!N5:N104),0)</f>
        <v/>
      </c>
      <c r="E6" s="22">
        <f>IF(SUMIF('Trade Log'!N5:N104,"&lt;0")&lt;&gt;0,ABS(SUMIF('Trade Log'!N5:N104,"&gt;0")/SUMIF('Trade Log'!N5:N104,"&lt;0")),0)</f>
        <v/>
      </c>
      <c r="G6" s="22">
        <f>AVERAGE('Trade Log'!Q5:Q104)</f>
        <v/>
      </c>
    </row>
    <row r="9">
      <c r="A9" s="23" t="inlineStr">
        <is>
          <t>Win/Loss Breakdown</t>
        </is>
      </c>
    </row>
    <row r="10">
      <c r="A10" t="inlineStr">
        <is>
          <t>Wins</t>
        </is>
      </c>
      <c r="B10">
        <f>COUNTIF('Trade Log'!N5:N104,"&gt;0")</f>
        <v/>
      </c>
    </row>
    <row r="11">
      <c r="A11" t="inlineStr">
        <is>
          <t>Losses</t>
        </is>
      </c>
      <c r="B11">
        <f>COUNTIF('Trade Log'!N5:N104,"&lt;0")</f>
        <v/>
      </c>
    </row>
    <row r="12">
      <c r="A12" t="inlineStr">
        <is>
          <t>Break Even</t>
        </is>
      </c>
      <c r="B12">
        <f>COUNTIF('Trade Log'!N5:N104,0)</f>
        <v/>
      </c>
    </row>
    <row r="13">
      <c r="A13" t="inlineStr">
        <is>
          <t>Open</t>
        </is>
      </c>
      <c r="B13">
        <f>COUNTBLANK('Trade Log'!H5:H104)</f>
        <v/>
      </c>
    </row>
    <row r="15">
      <c r="A15" s="23" t="inlineStr">
        <is>
          <t>Performance by Market</t>
        </is>
      </c>
    </row>
    <row r="16">
      <c r="A16" s="24" t="inlineStr">
        <is>
          <t>Market</t>
        </is>
      </c>
      <c r="B16" s="24" t="inlineStr">
        <is>
          <t>Total P&amp;L</t>
        </is>
      </c>
      <c r="C16" s="24" t="inlineStr">
        <is>
          <t>Trade Count</t>
        </is>
      </c>
    </row>
    <row r="17">
      <c r="A17" t="inlineStr">
        <is>
          <t>US</t>
        </is>
      </c>
      <c r="B17" s="25">
        <f>SUMIF('Trade Log'!C5:C104,"US",'Trade Log'!N5:N104)</f>
        <v/>
      </c>
      <c r="C17">
        <f>COUNTIF('Trade Log'!C5:C104,"US")</f>
        <v/>
      </c>
    </row>
    <row r="18">
      <c r="A18" t="inlineStr">
        <is>
          <t>HK</t>
        </is>
      </c>
      <c r="B18" s="25">
        <f>SUMIF('Trade Log'!C5:C104,"HK",'Trade Log'!N5:N104)</f>
        <v/>
      </c>
      <c r="C18">
        <f>COUNTIF('Trade Log'!C5:C104,"HK")</f>
        <v/>
      </c>
    </row>
    <row r="19">
      <c r="A19" t="inlineStr">
        <is>
          <t>FX</t>
        </is>
      </c>
      <c r="B19" s="25">
        <f>SUMIF('Trade Log'!C5:C104,"FX",'Trade Log'!N5:N104)</f>
        <v/>
      </c>
      <c r="C19">
        <f>COUNTIF('Trade Log'!C5:C104,"FX")</f>
        <v/>
      </c>
    </row>
    <row r="20">
      <c r="A20" t="inlineStr">
        <is>
          <t>Crypto</t>
        </is>
      </c>
      <c r="B20" s="25">
        <f>SUMIF('Trade Log'!C5:C104,"Crypto",'Trade Log'!N5:N104)</f>
        <v/>
      </c>
      <c r="C20">
        <f>COUNTIF('Trade Log'!C5:C104,"Crypto")</f>
        <v/>
      </c>
    </row>
    <row r="22">
      <c r="A22" s="23" t="inlineStr">
        <is>
          <t>Performance by Strategy</t>
        </is>
      </c>
    </row>
    <row r="23">
      <c r="A23" s="24" t="inlineStr">
        <is>
          <t>Strategy</t>
        </is>
      </c>
      <c r="B23" s="24" t="inlineStr">
        <is>
          <t>Total P&amp;L</t>
        </is>
      </c>
      <c r="C23" s="24" t="inlineStr">
        <is>
          <t>Win Rate</t>
        </is>
      </c>
    </row>
    <row r="24">
      <c r="A24" t="inlineStr">
        <is>
          <t>Breakout</t>
        </is>
      </c>
      <c r="B24" s="25">
        <f>SUMIF('Trade Log'!F5:F104,"Breakout",'Trade Log'!N5:N104)</f>
        <v/>
      </c>
      <c r="C24" s="16">
        <f>IF(COUNTIF('Trade Log'!F5:F104,"Breakout")&gt;0,COUNTIFS('Trade Log'!F5:F104,"Breakout",'Trade Log'!N5:N104,"&gt;0")/COUNTIF('Trade Log'!F5:F104,"Breakout"),0)</f>
        <v/>
      </c>
    </row>
    <row r="25">
      <c r="A25" t="inlineStr">
        <is>
          <t>Reversal</t>
        </is>
      </c>
      <c r="B25" s="25">
        <f>SUMIF('Trade Log'!F5:F104,"Reversal",'Trade Log'!N5:N104)</f>
        <v/>
      </c>
      <c r="C25" s="16">
        <f>IF(COUNTIF('Trade Log'!F5:F104,"Reversal")&gt;0,COUNTIFS('Trade Log'!F5:F104,"Reversal",'Trade Log'!N5:N104,"&gt;0")/COUNTIF('Trade Log'!F5:F104,"Reversal"),0)</f>
        <v/>
      </c>
    </row>
    <row r="26">
      <c r="A26" t="inlineStr">
        <is>
          <t>Pullback</t>
        </is>
      </c>
      <c r="B26" s="25">
        <f>SUMIF('Trade Log'!F5:F104,"Pullback",'Trade Log'!N5:N104)</f>
        <v/>
      </c>
      <c r="C26" s="16">
        <f>IF(COUNTIF('Trade Log'!F5:F104,"Pullback")&gt;0,COUNTIFS('Trade Log'!F5:F104,"Pullback",'Trade Log'!N5:N104,"&gt;0")/COUNTIF('Trade Log'!F5:F104,"Pullback"),0)</f>
        <v/>
      </c>
    </row>
    <row r="27">
      <c r="A27" t="inlineStr">
        <is>
          <t>Trend Follow</t>
        </is>
      </c>
      <c r="B27" s="25">
        <f>SUMIF('Trade Log'!F5:F104,"Trend Follow",'Trade Log'!N5:N104)</f>
        <v/>
      </c>
      <c r="C27" s="16">
        <f>IF(COUNTIF('Trade Log'!F5:F104,"Trend Follow")&gt;0,COUNTIFS('Trade Log'!F5:F104,"Trend Follow",'Trade Log'!N5:N104,"&gt;0")/COUNTIF('Trade Log'!F5:F104,"Trend Follow"),0)</f>
        <v/>
      </c>
    </row>
    <row r="28">
      <c r="A28" t="inlineStr">
        <is>
          <t>Earnings Play</t>
        </is>
      </c>
      <c r="B28" s="25">
        <f>SUMIF('Trade Log'!F5:F104,"Earnings Play",'Trade Log'!N5:N104)</f>
        <v/>
      </c>
      <c r="C28" s="16">
        <f>IF(COUNTIF('Trade Log'!F5:F104,"Earnings Play")&gt;0,COUNTIFS('Trade Log'!F5:F104,"Earnings Play",'Trade Log'!N5:N104,"&gt;0")/COUNTIF('Trade Log'!F5:F104,"Earnings Play"),0)</f>
        <v/>
      </c>
    </row>
    <row r="29">
      <c r="A29" t="inlineStr">
        <is>
          <t>Mean Revert</t>
        </is>
      </c>
      <c r="B29" s="25">
        <f>SUMIF('Trade Log'!F5:F104,"Mean Revert",'Trade Log'!N5:N104)</f>
        <v/>
      </c>
      <c r="C29" s="16">
        <f>IF(COUNTIF('Trade Log'!F5:F104,"Mean Revert")&gt;0,COUNTIFS('Trade Log'!F5:F104,"Mean Revert",'Trade Log'!N5:N104,"&gt;0")/COUNTIF('Trade Log'!F5:F104,"Mean Revert"),0)</f>
        <v/>
      </c>
    </row>
  </sheetData>
  <mergeCells count="4">
    <mergeCell ref="A9:B9"/>
    <mergeCell ref="A22:B22"/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TRADE ANALYTICS</t>
        </is>
      </c>
      <c r="B1" s="2" t="n"/>
      <c r="C1" s="2" t="n"/>
      <c r="D1" s="2" t="n"/>
      <c r="E1" s="2" t="n"/>
      <c r="F1" s="2" t="n"/>
    </row>
    <row r="3">
      <c r="A3" s="23" t="inlineStr">
        <is>
          <t>Monthly Performance</t>
        </is>
      </c>
    </row>
    <row r="4">
      <c r="A4" s="24" t="inlineStr">
        <is>
          <t>Month</t>
        </is>
      </c>
      <c r="B4" s="24" t="inlineStr">
        <is>
          <t>P&amp;L ($)</t>
        </is>
      </c>
      <c r="C4" s="24" t="inlineStr">
        <is>
          <t>Trades</t>
        </is>
      </c>
      <c r="D4" s="24" t="inlineStr">
        <is>
          <t>Win Rate</t>
        </is>
      </c>
      <c r="E4" s="24" t="inlineStr">
        <is>
          <t>Avg R</t>
        </is>
      </c>
    </row>
    <row r="5">
      <c r="A5" t="inlineStr">
        <is>
          <t>Jan</t>
        </is>
      </c>
      <c r="B5" s="25">
        <f>SUMPRODUCT((TEXT('Trade Log'!B5:B104,"mmm")="Jan")*'Trade Log'!N5:N104)</f>
        <v/>
      </c>
      <c r="C5">
        <f>COUNTIF('Trade Log'!B5:B104,"*"&amp;TEXT(DATE(2026,1,1),"mmm")&amp;"*")</f>
        <v/>
      </c>
      <c r="D5" s="16">
        <f>IF(C5&gt;0,COUNTIFS('Trade Log'!B5:B104,"*"&amp;TEXT(DATE(2026,1,1),"mmm")&amp;"*",'Trade Log'!N5:N104,"&gt;0")/C5,0)</f>
        <v/>
      </c>
      <c r="E5" s="17">
        <f>IF(C5&gt;0,AVERAGEIFS('Trade Log'!P5:P104,'Trade Log'!B5:B104,"*"&amp;TEXT(DATE(2026,1,1),"mmm")&amp;"*"),0)</f>
        <v/>
      </c>
    </row>
    <row r="6">
      <c r="A6" t="inlineStr">
        <is>
          <t>Feb</t>
        </is>
      </c>
      <c r="B6" s="25">
        <f>SUMPRODUCT((TEXT('Trade Log'!B5:B104,"mmm")="Feb")*'Trade Log'!N5:N104)</f>
        <v/>
      </c>
      <c r="C6">
        <f>COUNTIF('Trade Log'!B5:B104,"*"&amp;TEXT(DATE(2026,2,1),"mmm")&amp;"*")</f>
        <v/>
      </c>
      <c r="D6" s="16">
        <f>IF(C6&gt;0,COUNTIFS('Trade Log'!B5:B104,"*"&amp;TEXT(DATE(2026,2,1),"mmm")&amp;"*",'Trade Log'!N5:N104,"&gt;0")/C6,0)</f>
        <v/>
      </c>
      <c r="E6" s="17">
        <f>IF(C6&gt;0,AVERAGEIFS('Trade Log'!P5:P104,'Trade Log'!B5:B104,"*"&amp;TEXT(DATE(2026,2,1),"mmm")&amp;"*"),0)</f>
        <v/>
      </c>
    </row>
    <row r="7">
      <c r="A7" t="inlineStr">
        <is>
          <t>Mar</t>
        </is>
      </c>
      <c r="B7" s="25">
        <f>SUMPRODUCT((TEXT('Trade Log'!B5:B104,"mmm")="Mar")*'Trade Log'!N5:N104)</f>
        <v/>
      </c>
      <c r="C7">
        <f>COUNTIF('Trade Log'!B5:B104,"*"&amp;TEXT(DATE(2026,3,1),"mmm")&amp;"*")</f>
        <v/>
      </c>
      <c r="D7" s="16">
        <f>IF(C7&gt;0,COUNTIFS('Trade Log'!B5:B104,"*"&amp;TEXT(DATE(2026,3,1),"mmm")&amp;"*",'Trade Log'!N5:N104,"&gt;0")/C7,0)</f>
        <v/>
      </c>
      <c r="E7" s="17">
        <f>IF(C7&gt;0,AVERAGEIFS('Trade Log'!P5:P104,'Trade Log'!B5:B104,"*"&amp;TEXT(DATE(2026,3,1),"mmm")&amp;"*"),0)</f>
        <v/>
      </c>
    </row>
    <row r="8">
      <c r="A8" t="inlineStr">
        <is>
          <t>Apr</t>
        </is>
      </c>
      <c r="B8" s="25">
        <f>SUMPRODUCT((TEXT('Trade Log'!B5:B104,"mmm")="Apr")*'Trade Log'!N5:N104)</f>
        <v/>
      </c>
      <c r="C8">
        <f>COUNTIF('Trade Log'!B5:B104,"*"&amp;TEXT(DATE(2026,4,1),"mmm")&amp;"*")</f>
        <v/>
      </c>
      <c r="D8" s="16">
        <f>IF(C8&gt;0,COUNTIFS('Trade Log'!B5:B104,"*"&amp;TEXT(DATE(2026,4,1),"mmm")&amp;"*",'Trade Log'!N5:N104,"&gt;0")/C8,0)</f>
        <v/>
      </c>
      <c r="E8" s="17">
        <f>IF(C8&gt;0,AVERAGEIFS('Trade Log'!P5:P104,'Trade Log'!B5:B104,"*"&amp;TEXT(DATE(2026,4,1),"mmm")&amp;"*"),0)</f>
        <v/>
      </c>
    </row>
    <row r="9">
      <c r="A9" t="inlineStr">
        <is>
          <t>May</t>
        </is>
      </c>
      <c r="B9" s="25">
        <f>SUMPRODUCT((TEXT('Trade Log'!B5:B104,"mmm")="May")*'Trade Log'!N5:N104)</f>
        <v/>
      </c>
      <c r="C9">
        <f>COUNTIF('Trade Log'!B5:B104,"*"&amp;TEXT(DATE(2026,5,1),"mmm")&amp;"*")</f>
        <v/>
      </c>
      <c r="D9" s="16">
        <f>IF(C9&gt;0,COUNTIFS('Trade Log'!B5:B104,"*"&amp;TEXT(DATE(2026,5,1),"mmm")&amp;"*",'Trade Log'!N5:N104,"&gt;0")/C9,0)</f>
        <v/>
      </c>
      <c r="E9" s="17">
        <f>IF(C9&gt;0,AVERAGEIFS('Trade Log'!P5:P104,'Trade Log'!B5:B104,"*"&amp;TEXT(DATE(2026,5,1),"mmm")&amp;"*"),0)</f>
        <v/>
      </c>
    </row>
    <row r="10">
      <c r="A10" t="inlineStr">
        <is>
          <t>Jun</t>
        </is>
      </c>
      <c r="B10" s="25">
        <f>SUMPRODUCT((TEXT('Trade Log'!B5:B104,"mmm")="Jun")*'Trade Log'!N5:N104)</f>
        <v/>
      </c>
      <c r="C10">
        <f>COUNTIF('Trade Log'!B5:B104,"*"&amp;TEXT(DATE(2026,6,1),"mmm")&amp;"*")</f>
        <v/>
      </c>
      <c r="D10" s="16">
        <f>IF(C10&gt;0,COUNTIFS('Trade Log'!B5:B104,"*"&amp;TEXT(DATE(2026,6,1),"mmm")&amp;"*",'Trade Log'!N5:N104,"&gt;0")/C10,0)</f>
        <v/>
      </c>
      <c r="E10" s="17">
        <f>IF(C10&gt;0,AVERAGEIFS('Trade Log'!P5:P104,'Trade Log'!B5:B104,"*"&amp;TEXT(DATE(2026,6,1),"mmm")&amp;"*"),0)</f>
        <v/>
      </c>
    </row>
    <row r="11">
      <c r="A11" t="inlineStr">
        <is>
          <t>Jul</t>
        </is>
      </c>
      <c r="B11" s="25">
        <f>SUMPRODUCT((TEXT('Trade Log'!B5:B104,"mmm")="Jul")*'Trade Log'!N5:N104)</f>
        <v/>
      </c>
      <c r="C11">
        <f>COUNTIF('Trade Log'!B5:B104,"*"&amp;TEXT(DATE(2026,7,1),"mmm")&amp;"*")</f>
        <v/>
      </c>
      <c r="D11" s="16">
        <f>IF(C11&gt;0,COUNTIFS('Trade Log'!B5:B104,"*"&amp;TEXT(DATE(2026,7,1),"mmm")&amp;"*",'Trade Log'!N5:N104,"&gt;0")/C11,0)</f>
        <v/>
      </c>
      <c r="E11" s="17">
        <f>IF(C11&gt;0,AVERAGEIFS('Trade Log'!P5:P104,'Trade Log'!B5:B104,"*"&amp;TEXT(DATE(2026,7,1),"mmm")&amp;"*"),0)</f>
        <v/>
      </c>
    </row>
    <row r="12">
      <c r="A12" t="inlineStr">
        <is>
          <t>Aug</t>
        </is>
      </c>
      <c r="B12" s="25">
        <f>SUMPRODUCT((TEXT('Trade Log'!B5:B104,"mmm")="Aug")*'Trade Log'!N5:N104)</f>
        <v/>
      </c>
      <c r="C12">
        <f>COUNTIF('Trade Log'!B5:B104,"*"&amp;TEXT(DATE(2026,8,1),"mmm")&amp;"*")</f>
        <v/>
      </c>
      <c r="D12" s="16">
        <f>IF(C12&gt;0,COUNTIFS('Trade Log'!B5:B104,"*"&amp;TEXT(DATE(2026,8,1),"mmm")&amp;"*",'Trade Log'!N5:N104,"&gt;0")/C12,0)</f>
        <v/>
      </c>
      <c r="E12" s="17">
        <f>IF(C12&gt;0,AVERAGEIFS('Trade Log'!P5:P104,'Trade Log'!B5:B104,"*"&amp;TEXT(DATE(2026,8,1),"mmm")&amp;"*"),0)</f>
        <v/>
      </c>
    </row>
    <row r="13">
      <c r="A13" t="inlineStr">
        <is>
          <t>Sep</t>
        </is>
      </c>
      <c r="B13" s="25">
        <f>SUMPRODUCT((TEXT('Trade Log'!B5:B104,"mmm")="Sep")*'Trade Log'!N5:N104)</f>
        <v/>
      </c>
      <c r="C13">
        <f>COUNTIF('Trade Log'!B5:B104,"*"&amp;TEXT(DATE(2026,9,1),"mmm")&amp;"*")</f>
        <v/>
      </c>
      <c r="D13" s="16">
        <f>IF(C13&gt;0,COUNTIFS('Trade Log'!B5:B104,"*"&amp;TEXT(DATE(2026,9,1),"mmm")&amp;"*",'Trade Log'!N5:N104,"&gt;0")/C13,0)</f>
        <v/>
      </c>
      <c r="E13" s="17">
        <f>IF(C13&gt;0,AVERAGEIFS('Trade Log'!P5:P104,'Trade Log'!B5:B104,"*"&amp;TEXT(DATE(2026,9,1),"mmm")&amp;"*"),0)</f>
        <v/>
      </c>
    </row>
    <row r="14">
      <c r="A14" t="inlineStr">
        <is>
          <t>Oct</t>
        </is>
      </c>
      <c r="B14" s="25">
        <f>SUMPRODUCT((TEXT('Trade Log'!B5:B104,"mmm")="Oct")*'Trade Log'!N5:N104)</f>
        <v/>
      </c>
      <c r="C14">
        <f>COUNTIF('Trade Log'!B5:B104,"*"&amp;TEXT(DATE(2026,10,1),"mmm")&amp;"*")</f>
        <v/>
      </c>
      <c r="D14" s="16">
        <f>IF(C14&gt;0,COUNTIFS('Trade Log'!B5:B104,"*"&amp;TEXT(DATE(2026,10,1),"mmm")&amp;"*",'Trade Log'!N5:N104,"&gt;0")/C14,0)</f>
        <v/>
      </c>
      <c r="E14" s="17">
        <f>IF(C14&gt;0,AVERAGEIFS('Trade Log'!P5:P104,'Trade Log'!B5:B104,"*"&amp;TEXT(DATE(2026,10,1),"mmm")&amp;"*"),0)</f>
        <v/>
      </c>
    </row>
    <row r="15">
      <c r="A15" t="inlineStr">
        <is>
          <t>Nov</t>
        </is>
      </c>
      <c r="B15" s="25">
        <f>SUMPRODUCT((TEXT('Trade Log'!B5:B104,"mmm")="Nov")*'Trade Log'!N5:N104)</f>
        <v/>
      </c>
      <c r="C15">
        <f>COUNTIF('Trade Log'!B5:B104,"*"&amp;TEXT(DATE(2026,11,1),"mmm")&amp;"*")</f>
        <v/>
      </c>
      <c r="D15" s="16">
        <f>IF(C15&gt;0,COUNTIFS('Trade Log'!B5:B104,"*"&amp;TEXT(DATE(2026,11,1),"mmm")&amp;"*",'Trade Log'!N5:N104,"&gt;0")/C15,0)</f>
        <v/>
      </c>
      <c r="E15" s="17">
        <f>IF(C15&gt;0,AVERAGEIFS('Trade Log'!P5:P104,'Trade Log'!B5:B104,"*"&amp;TEXT(DATE(2026,11,1),"mmm")&amp;"*"),0)</f>
        <v/>
      </c>
    </row>
    <row r="16">
      <c r="A16" t="inlineStr">
        <is>
          <t>Dec</t>
        </is>
      </c>
      <c r="B16" s="25">
        <f>SUMPRODUCT((TEXT('Trade Log'!B5:B104,"mmm")="Dec")*'Trade Log'!N5:N104)</f>
        <v/>
      </c>
      <c r="C16">
        <f>COUNTIF('Trade Log'!B5:B104,"*"&amp;TEXT(DATE(2026,12,1),"mmm")&amp;"*")</f>
        <v/>
      </c>
      <c r="D16" s="16">
        <f>IF(C16&gt;0,COUNTIFS('Trade Log'!B5:B104,"*"&amp;TEXT(DATE(2026,12,1),"mmm")&amp;"*",'Trade Log'!N5:N104,"&gt;0")/C16,0)</f>
        <v/>
      </c>
      <c r="E16" s="17">
        <f>IF(C16&gt;0,AVERAGEIFS('Trade Log'!P5:P104,'Trade Log'!B5:B104,"*"&amp;TEXT(DATE(2026,12,1),"mmm")&amp;"*"),0)</f>
        <v/>
      </c>
    </row>
    <row r="18">
      <c r="A18" s="23" t="inlineStr">
        <is>
          <t>Risk Metrics</t>
        </is>
      </c>
    </row>
    <row r="19">
      <c r="A19" t="inlineStr">
        <is>
          <t>Max Drawdown</t>
        </is>
      </c>
      <c r="B19" s="25">
        <f>MIN('Trade Log'!N5:N104)</f>
        <v/>
      </c>
    </row>
    <row r="20">
      <c r="A20" t="inlineStr">
        <is>
          <t>Avg Win</t>
        </is>
      </c>
      <c r="B20" s="25">
        <f>IF(COUNTIF('Trade Log'!N5:N104,"&gt;0")&gt;0,AVERAGEIF('Trade Log'!N5:N104,"&gt;0"),0)</f>
        <v/>
      </c>
    </row>
    <row r="21">
      <c r="A21" t="inlineStr">
        <is>
          <t>Avg Loss</t>
        </is>
      </c>
      <c r="B21" s="25">
        <f>IF(COUNTIF('Trade Log'!N5:N104,"&lt;0")&gt;0,AVERAGEIF('Trade Log'!N5:N104,"&lt;0"),0)</f>
        <v/>
      </c>
    </row>
    <row r="22">
      <c r="A22" t="inlineStr">
        <is>
          <t>Win/Loss Ratio</t>
        </is>
      </c>
      <c r="B22" s="17">
        <f>IF(B21&lt;&gt;0,ABS(B20/B21),0)</f>
        <v/>
      </c>
    </row>
    <row r="25">
      <c r="A25" s="23" t="inlineStr">
        <is>
          <t>By Direction</t>
        </is>
      </c>
    </row>
    <row r="26">
      <c r="A26" s="24" t="inlineStr">
        <is>
          <t>Direction</t>
        </is>
      </c>
      <c r="B26" s="24" t="inlineStr">
        <is>
          <t>Total P&amp;L</t>
        </is>
      </c>
      <c r="C26" s="24" t="inlineStr">
        <is>
          <t>Count</t>
        </is>
      </c>
      <c r="D26" s="24" t="inlineStr">
        <is>
          <t>Win Rate</t>
        </is>
      </c>
    </row>
    <row r="27">
      <c r="A27" t="inlineStr">
        <is>
          <t>Long</t>
        </is>
      </c>
      <c r="B27" s="25">
        <f>SUMIF('Trade Log'!E5:E104,"Long",'Trade Log'!N5:N104)</f>
        <v/>
      </c>
      <c r="C27">
        <f>COUNTIF('Trade Log'!E5:E104,"Long")</f>
        <v/>
      </c>
      <c r="D27" s="16">
        <f>IF(C27&gt;0,COUNTIFS('Trade Log'!E5:E104,"Long",'Trade Log'!N5:N104,"&gt;0")/C27,0)</f>
        <v/>
      </c>
    </row>
    <row r="28">
      <c r="A28" t="inlineStr">
        <is>
          <t>Short</t>
        </is>
      </c>
      <c r="B28" s="25">
        <f>SUMIF('Trade Log'!E5:E104,"Short",'Trade Log'!N5:N104)</f>
        <v/>
      </c>
      <c r="C28">
        <f>COUNTIF('Trade Log'!E5:E104,"Short")</f>
        <v/>
      </c>
      <c r="D28" s="16">
        <f>IF(C28&gt;0,COUNTIFS('Trade Log'!E5:E104,"Short",'Trade Log'!N5:N104,"&gt;0")/C28,0)</f>
        <v/>
      </c>
    </row>
  </sheetData>
  <mergeCells count="4">
    <mergeCell ref="A18:B18"/>
    <mergeCell ref="A3:B3"/>
    <mergeCell ref="A1:F1"/>
    <mergeCell ref="A25: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USE THIS TRADING JOURNAL</t>
        </is>
      </c>
      <c r="B1" s="2" t="n"/>
      <c r="C1" s="2" t="n"/>
      <c r="D1" s="2" t="n"/>
    </row>
    <row r="3">
      <c r="A3" s="26" t="inlineStr">
        <is>
          <t>Getting Started</t>
        </is>
      </c>
    </row>
    <row r="4">
      <c r="A4" s="27" t="inlineStr">
        <is>
          <t>1. Each row in the Trade Log represents one trade.</t>
        </is>
      </c>
    </row>
    <row r="5">
      <c r="A5" s="27" t="inlineStr">
        <is>
          <t>2. Fill in the blue cells (columns A-M) for each trade.</t>
        </is>
      </c>
    </row>
    <row r="6">
      <c r="A6" s="27" t="inlineStr">
        <is>
          <t>3. P&amp;L, Win Rate, and R Multiple calculate automatically.</t>
        </is>
      </c>
    </row>
    <row r="7">
      <c r="A7" s="27" t="inlineStr">
        <is>
          <t>4. The Dashboard and Analytics update in real-time.</t>
        </is>
      </c>
    </row>
    <row r="9">
      <c r="A9" s="26" t="inlineStr">
        <is>
          <t>Required Fields</t>
        </is>
      </c>
    </row>
    <row r="10">
      <c r="A10" s="27" t="inlineStr">
        <is>
          <t>• Date: Trade entry date (YYYY-MM-DD format)</t>
        </is>
      </c>
    </row>
    <row r="11">
      <c r="A11" s="27" t="inlineStr">
        <is>
          <t>• Market: US / HK / FX / Crypto</t>
        </is>
      </c>
    </row>
    <row r="12">
      <c r="A12" s="27" t="inlineStr">
        <is>
          <t>• Symbol: Ticker symbol (e.g., AAPL, 0700.HK)</t>
        </is>
      </c>
    </row>
    <row r="13">
      <c r="A13" s="27" t="inlineStr">
        <is>
          <t>• Direction: Long or Short</t>
        </is>
      </c>
    </row>
    <row r="14">
      <c r="A14" s="27" t="inlineStr">
        <is>
          <t>• Strategy: Your trading strategy name</t>
        </is>
      </c>
    </row>
    <row r="15">
      <c r="A15" s="27" t="inlineStr">
        <is>
          <t>• Entry/Exit Price: Prices at which you entered/exited</t>
        </is>
      </c>
    </row>
    <row r="16">
      <c r="A16" s="27" t="inlineStr">
        <is>
          <t>• Stop Loss / Take Profit: Your planned levels</t>
        </is>
      </c>
    </row>
    <row r="17">
      <c r="A17" s="27" t="inlineStr">
        <is>
          <t>• Position Size: Total dollar value of the position</t>
        </is>
      </c>
    </row>
    <row r="19">
      <c r="A19" s="26" t="inlineStr">
        <is>
          <t>Tips</t>
        </is>
      </c>
    </row>
    <row r="20">
      <c r="A20" s="27" t="inlineStr">
        <is>
          <t>• Log every trade — data is your edge.</t>
        </is>
      </c>
    </row>
    <row r="21">
      <c r="A21" s="27" t="inlineStr">
        <is>
          <t>• Rate setup quality (A+ = perfect, C = marginal).</t>
        </is>
      </c>
    </row>
    <row r="22">
      <c r="A22" s="27" t="inlineStr">
        <is>
          <t>• Review the Dashboard weekly to find your best strategies.</t>
        </is>
      </c>
    </row>
    <row r="23">
      <c r="A23" s="27" t="inlineStr">
        <is>
          <t>• Use Analytics to identify seasonal patterns.</t>
        </is>
      </c>
    </row>
    <row r="24">
      <c r="A24" s="27" t="inlineStr">
        <is>
          <t>• R Multiple normalizes performance across position sizes.</t>
        </is>
      </c>
    </row>
  </sheetData>
  <mergeCells count="18">
    <mergeCell ref="A1:D1"/>
    <mergeCell ref="A5:D5"/>
    <mergeCell ref="A17:D17"/>
    <mergeCell ref="A23:D23"/>
    <mergeCell ref="A6:D6"/>
    <mergeCell ref="A22:D22"/>
    <mergeCell ref="A12:D12"/>
    <mergeCell ref="A4:D4"/>
    <mergeCell ref="A20:D20"/>
    <mergeCell ref="A21:D21"/>
    <mergeCell ref="A15:D15"/>
    <mergeCell ref="A7:D7"/>
    <mergeCell ref="A24:D24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2026-05-12T02:22:01Z</dcterms:created>
  <dcterms:modified xmlns:dcterms="http://purl.org/dc/terms/" xmlns:xsi="http://www.w3.org/2001/XMLSchema-instance" xsi:type="dcterms:W3CDTF">2026-05-12T02:22:01Z</dcterms:modified>
</cp:coreProperties>
</file>